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harts/chart10.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DEll\Desktop\"/>
    </mc:Choice>
  </mc:AlternateContent>
  <xr:revisionPtr revIDLastSave="0" documentId="8_{3925CB4E-77A1-4A84-84F5-74F703E020C6}" xr6:coauthVersionLast="47" xr6:coauthVersionMax="47" xr10:uidLastSave="{00000000-0000-0000-0000-000000000000}"/>
  <bookViews>
    <workbookView xWindow="-108" yWindow="-108" windowWidth="23256" windowHeight="12456" activeTab="2" xr2:uid="{00000000-000D-0000-FFFF-FFFF00000000}"/>
  </bookViews>
  <sheets>
    <sheet name="Students" sheetId="1" r:id="rId1"/>
    <sheet name="Sheet1" sheetId="3" r:id="rId2"/>
    <sheet name="Dashboard" sheetId="4" r:id="rId3"/>
  </sheets>
  <definedNames>
    <definedName name="Slicer_Nam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3" l="1"/>
  <c r="M6" i="3"/>
  <c r="E132" i="3"/>
  <c r="M4" i="3" s="1"/>
  <c r="M5" i="3" s="1"/>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4" i="3"/>
</calcChain>
</file>

<file path=xl/sharedStrings.xml><?xml version="1.0" encoding="utf-8"?>
<sst xmlns="http://schemas.openxmlformats.org/spreadsheetml/2006/main" count="1121" uniqueCount="173">
  <si>
    <t>Name</t>
  </si>
  <si>
    <t>Roll No</t>
  </si>
  <si>
    <t>Program</t>
  </si>
  <si>
    <t>Branch</t>
  </si>
  <si>
    <t>Semester</t>
  </si>
  <si>
    <t>Status</t>
  </si>
  <si>
    <t>Session</t>
  </si>
  <si>
    <t>AL401- [T]</t>
  </si>
  <si>
    <t>AL402- [T]</t>
  </si>
  <si>
    <t>AL403- [P]</t>
  </si>
  <si>
    <t>AL404- [P]</t>
  </si>
  <si>
    <t>AL405- [P]</t>
  </si>
  <si>
    <t>AL406- [P]</t>
  </si>
  <si>
    <t>Result Description</t>
  </si>
  <si>
    <t>SGPA</t>
  </si>
  <si>
    <t>CGPA</t>
  </si>
  <si>
    <t>AAKASH PIPALDE</t>
  </si>
  <si>
    <t>0403AL231001</t>
  </si>
  <si>
    <t>B.Tech</t>
  </si>
  <si>
    <t>AL</t>
  </si>
  <si>
    <t>Regular</t>
  </si>
  <si>
    <t>C+</t>
  </si>
  <si>
    <t>B</t>
  </si>
  <si>
    <t>A</t>
  </si>
  <si>
    <t>PASS</t>
  </si>
  <si>
    <t>AAYUSH PATEL</t>
  </si>
  <si>
    <t>0403AL231002</t>
  </si>
  <si>
    <t>ABIR SAXENA</t>
  </si>
  <si>
    <t>0403AL231004</t>
  </si>
  <si>
    <t>D</t>
  </si>
  <si>
    <t>C</t>
  </si>
  <si>
    <t>PASS WITH GRACE</t>
  </si>
  <si>
    <t>AMEY BHOKARIKAR</t>
  </si>
  <si>
    <t>0403AL231005</t>
  </si>
  <si>
    <t>ANTIM JAMLE</t>
  </si>
  <si>
    <t>0403AL231008</t>
  </si>
  <si>
    <t>F</t>
  </si>
  <si>
    <t>B+</t>
  </si>
  <si>
    <t>Fail in AL401</t>
  </si>
  <si>
    <t>ARUN KHODE</t>
  </si>
  <si>
    <t>0403AL231009</t>
  </si>
  <si>
    <t>ARYAN RATHOD</t>
  </si>
  <si>
    <t>0403AL231010</t>
  </si>
  <si>
    <t>A+</t>
  </si>
  <si>
    <t>BHUMI GUPTA</t>
  </si>
  <si>
    <t>0403AL231012</t>
  </si>
  <si>
    <t>BHUPENDRA VERMA</t>
  </si>
  <si>
    <t>0403AL231013</t>
  </si>
  <si>
    <t>CHINMAY JOSHI</t>
  </si>
  <si>
    <t>0403AL231014</t>
  </si>
  <si>
    <t>DARSHAN KUSHWAH</t>
  </si>
  <si>
    <t>0403AL231015</t>
  </si>
  <si>
    <t>DEVASHISH GUPTA</t>
  </si>
  <si>
    <t>0403AL231016</t>
  </si>
  <si>
    <t>DIVY CHATURVEDI</t>
  </si>
  <si>
    <t>0403AL231017</t>
  </si>
  <si>
    <t>DIVYANI PAGARE</t>
  </si>
  <si>
    <t>0403AL231018</t>
  </si>
  <si>
    <t>DIVYANSHI PRAJAPAT</t>
  </si>
  <si>
    <t>0403AL231019</t>
  </si>
  <si>
    <t>DIVYASH JAIN</t>
  </si>
  <si>
    <t>0403AL231020</t>
  </si>
  <si>
    <t>Fail in AL401,AL402,AL405</t>
  </si>
  <si>
    <t>GANESH VARMA</t>
  </si>
  <si>
    <t>0403AL231021</t>
  </si>
  <si>
    <t>GOPAL</t>
  </si>
  <si>
    <t>0403AL231022</t>
  </si>
  <si>
    <t>HARIOM BHAWSAR</t>
  </si>
  <si>
    <t>0403AL231024</t>
  </si>
  <si>
    <t>HARIOM YADAV</t>
  </si>
  <si>
    <t>0403AL231025</t>
  </si>
  <si>
    <t>HARSHIT RATHOD</t>
  </si>
  <si>
    <t>0403AL231027</t>
  </si>
  <si>
    <t>HASNEHA VERMA</t>
  </si>
  <si>
    <t>0403AL231028</t>
  </si>
  <si>
    <t>JATIN MAGRIYA</t>
  </si>
  <si>
    <t>0403AL231029</t>
  </si>
  <si>
    <t>JAY</t>
  </si>
  <si>
    <t>0403AL231030</t>
  </si>
  <si>
    <t>KARTIK GUPTA</t>
  </si>
  <si>
    <t>0403AL231031</t>
  </si>
  <si>
    <t>KHUSHI JETHWA</t>
  </si>
  <si>
    <t>0403AL231032</t>
  </si>
  <si>
    <t>KRATIKA VERMA</t>
  </si>
  <si>
    <t>0403AL231033</t>
  </si>
  <si>
    <t>KRISHNA BHAWSAR</t>
  </si>
  <si>
    <t>0403AL231034</t>
  </si>
  <si>
    <t>KULDEEP PATIDAR</t>
  </si>
  <si>
    <t>0403AL231035</t>
  </si>
  <si>
    <t>KUSHAGRA MALYA</t>
  </si>
  <si>
    <t>0403AL231036</t>
  </si>
  <si>
    <t>LALU KUSHWAH</t>
  </si>
  <si>
    <t>0403AL231038</t>
  </si>
  <si>
    <t>MANSEE SAWALE</t>
  </si>
  <si>
    <t>0403AL231040</t>
  </si>
  <si>
    <t>MANSHVEE CHOUHAN</t>
  </si>
  <si>
    <t>0403AL231041</t>
  </si>
  <si>
    <t>MARATHE NILESH KAILASH</t>
  </si>
  <si>
    <t>0403AL231042</t>
  </si>
  <si>
    <t>Fail in AL405</t>
  </si>
  <si>
    <t>MONIKA MOURYA</t>
  </si>
  <si>
    <t>0403AL231043</t>
  </si>
  <si>
    <t>NITIN SEN</t>
  </si>
  <si>
    <t>0403AL231045</t>
  </si>
  <si>
    <t>PALLAVI PATIDAR</t>
  </si>
  <si>
    <t>0403AL231046</t>
  </si>
  <si>
    <t>PIYUSH YADAV</t>
  </si>
  <si>
    <t>0403AL231047</t>
  </si>
  <si>
    <t>PRACHI PANWAR</t>
  </si>
  <si>
    <t>0403AL231048</t>
  </si>
  <si>
    <t>PRATIMA KAG</t>
  </si>
  <si>
    <t>0403AL231052</t>
  </si>
  <si>
    <t>PRAYATN FATROD</t>
  </si>
  <si>
    <t>0403AL231053</t>
  </si>
  <si>
    <t>PREM RAGHUVANSHI</t>
  </si>
  <si>
    <t>0403AL231054</t>
  </si>
  <si>
    <t>PUSHTI MAHAJAN</t>
  </si>
  <si>
    <t>0403AL231055</t>
  </si>
  <si>
    <t>RAJNANDINI CHOUHAN</t>
  </si>
  <si>
    <t>0403AL231056</t>
  </si>
  <si>
    <t>RIZWAN SHEIKH</t>
  </si>
  <si>
    <t>0403AL231058</t>
  </si>
  <si>
    <t>ROHIT BHARGAV</t>
  </si>
  <si>
    <t>0403AL231059</t>
  </si>
  <si>
    <t>RUDRA NIKHORIA</t>
  </si>
  <si>
    <t>0403AL231060</t>
  </si>
  <si>
    <t>SADHANA BIRLA</t>
  </si>
  <si>
    <t>0403AL231061</t>
  </si>
  <si>
    <t>SAKSHI SONI</t>
  </si>
  <si>
    <t>0403AL231062</t>
  </si>
  <si>
    <t>SAVITA YADAV</t>
  </si>
  <si>
    <t>0403AL231063</t>
  </si>
  <si>
    <t>SHAILY RATHORE</t>
  </si>
  <si>
    <t>0403AL231065</t>
  </si>
  <si>
    <t>SONALI VERMA</t>
  </si>
  <si>
    <t>0403AL231066</t>
  </si>
  <si>
    <t>SUDHANSHU KUSHWAH</t>
  </si>
  <si>
    <t>0403AL231067</t>
  </si>
  <si>
    <t>TARANJEET</t>
  </si>
  <si>
    <t>0403AL231068</t>
  </si>
  <si>
    <t>TARUN RATHOR</t>
  </si>
  <si>
    <t>0403AL231069</t>
  </si>
  <si>
    <t>TWINKLE JADAM</t>
  </si>
  <si>
    <t>0403AL231070</t>
  </si>
  <si>
    <t>VEDANSH JOSHI</t>
  </si>
  <si>
    <t>0403AL231072</t>
  </si>
  <si>
    <t>VISHAL PATEL</t>
  </si>
  <si>
    <t>0403AL231073</t>
  </si>
  <si>
    <t>YASH GUJARATHI</t>
  </si>
  <si>
    <t>0403AL231075</t>
  </si>
  <si>
    <t>YASH PATHAK</t>
  </si>
  <si>
    <t>0403AL231076</t>
  </si>
  <si>
    <t>YASHAD SATHE</t>
  </si>
  <si>
    <t>0403AL231077</t>
  </si>
  <si>
    <t>ZAID ALI SAIYED</t>
  </si>
  <si>
    <t>0403AL231078</t>
  </si>
  <si>
    <t>Column1</t>
  </si>
  <si>
    <t>Row Labels</t>
  </si>
  <si>
    <t>Grand Total</t>
  </si>
  <si>
    <t>Count of Name</t>
  </si>
  <si>
    <t>Sum of SGPA</t>
  </si>
  <si>
    <t>Sum of CGPA</t>
  </si>
  <si>
    <t>Percentage</t>
  </si>
  <si>
    <t>Count of Roll No</t>
  </si>
  <si>
    <t>Pass</t>
  </si>
  <si>
    <t>Total Students</t>
  </si>
  <si>
    <t>Pass Rate</t>
  </si>
  <si>
    <t xml:space="preserve">Average SGPA </t>
  </si>
  <si>
    <t>AverageCGPA</t>
  </si>
  <si>
    <t>Most Difficult Subject</t>
  </si>
  <si>
    <t>AL401</t>
  </si>
  <si>
    <t>Top 10 Students</t>
  </si>
  <si>
    <t>Bottom 10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</si>
</sst>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17"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pivotButton="1" applyAlignment="1">
      <alignment horizontal="center"/>
    </xf>
    <xf numFmtId="0" fontId="0" fillId="0" borderId="0" xfId="0" applyAlignment="1">
      <alignment horizontal="center"/>
    </xf>
    <xf numFmtId="10" fontId="0" fillId="0" borderId="0" xfId="0" applyNumberFormat="1" applyAlignment="1">
      <alignment horizontal="center"/>
    </xf>
    <xf numFmtId="2" fontId="0" fillId="0" borderId="0" xfId="0" applyNumberFormat="1" applyAlignment="1">
      <alignment horizontal="center"/>
    </xf>
    <xf numFmtId="0" fontId="16" fillId="0" borderId="0" xfId="0" applyFont="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164" formatCode="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 Data Analysis (1).xlsx]Sheet1!PivotTable1</c:name>
    <c:fmtId val="0"/>
  </c:pivotSource>
  <c:chart>
    <c:title>
      <c:tx>
        <c:rich>
          <a:bodyPr/>
          <a:lstStyle/>
          <a:p>
            <a:pPr>
              <a:defRPr/>
            </a:pPr>
            <a:r>
              <a:rPr lang="en-US" baseline="0"/>
              <a:t>Student Academic Performance</a:t>
            </a:r>
            <a:endParaRPr lang="en-US"/>
          </a:p>
        </c:rich>
      </c:tx>
      <c:overlay val="0"/>
      <c:spPr>
        <a:solidFill>
          <a:srgbClr val="FFC000"/>
        </a:solidFill>
      </c:spPr>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Sheet1!$A$4:$A$8</c:f>
              <c:strCache>
                <c:ptCount val="5"/>
                <c:pt idx="0">
                  <c:v>PASS</c:v>
                </c:pt>
                <c:pt idx="1">
                  <c:v>PASS WITH GRACE</c:v>
                </c:pt>
                <c:pt idx="2">
                  <c:v>Fail in AL401</c:v>
                </c:pt>
                <c:pt idx="3">
                  <c:v>Fail in AL401,AL402,AL405</c:v>
                </c:pt>
                <c:pt idx="4">
                  <c:v>Fail in AL405</c:v>
                </c:pt>
              </c:strCache>
            </c:strRef>
          </c:cat>
          <c:val>
            <c:numRef>
              <c:f>Sheet1!$B$4:$B$8</c:f>
              <c:numCache>
                <c:formatCode>General</c:formatCode>
                <c:ptCount val="5"/>
                <c:pt idx="0">
                  <c:v>48</c:v>
                </c:pt>
                <c:pt idx="1">
                  <c:v>6</c:v>
                </c:pt>
                <c:pt idx="2">
                  <c:v>5</c:v>
                </c:pt>
                <c:pt idx="3">
                  <c:v>2</c:v>
                </c:pt>
                <c:pt idx="4">
                  <c:v>1</c:v>
                </c:pt>
              </c:numCache>
            </c:numRef>
          </c:val>
          <c:extLst>
            <c:ext xmlns:c16="http://schemas.microsoft.com/office/drawing/2014/chart" uri="{C3380CC4-5D6E-409C-BE32-E72D297353CC}">
              <c16:uniqueId val="{00000000-19CE-49F0-98D8-05ADF905CEC8}"/>
            </c:ext>
          </c:extLst>
        </c:ser>
        <c:dLbls>
          <c:showLegendKey val="0"/>
          <c:showVal val="0"/>
          <c:showCatName val="0"/>
          <c:showSerName val="0"/>
          <c:showPercent val="0"/>
          <c:showBubbleSize val="0"/>
        </c:dLbls>
        <c:gapWidth val="150"/>
        <c:axId val="197415680"/>
        <c:axId val="197417216"/>
      </c:barChart>
      <c:catAx>
        <c:axId val="197415680"/>
        <c:scaling>
          <c:orientation val="minMax"/>
        </c:scaling>
        <c:delete val="0"/>
        <c:axPos val="b"/>
        <c:numFmt formatCode="General" sourceLinked="0"/>
        <c:majorTickMark val="out"/>
        <c:minorTickMark val="none"/>
        <c:tickLblPos val="nextTo"/>
        <c:crossAx val="197417216"/>
        <c:crosses val="autoZero"/>
        <c:auto val="1"/>
        <c:lblAlgn val="ctr"/>
        <c:lblOffset val="100"/>
        <c:noMultiLvlLbl val="0"/>
      </c:catAx>
      <c:valAx>
        <c:axId val="197417216"/>
        <c:scaling>
          <c:orientation val="minMax"/>
        </c:scaling>
        <c:delete val="0"/>
        <c:axPos val="l"/>
        <c:numFmt formatCode="General" sourceLinked="1"/>
        <c:majorTickMark val="out"/>
        <c:minorTickMark val="none"/>
        <c:tickLblPos val="nextTo"/>
        <c:crossAx val="197415680"/>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 Data Analysis (1).xlsx]Sheet1!PivotTable2</c:name>
    <c:fmtId val="0"/>
  </c:pivotSource>
  <c:chart>
    <c:title>
      <c:tx>
        <c:rich>
          <a:bodyPr/>
          <a:lstStyle/>
          <a:p>
            <a:pPr>
              <a:defRPr/>
            </a:pPr>
            <a:r>
              <a:rPr lang="en-US"/>
              <a:t>SGPA</a:t>
            </a:r>
            <a:r>
              <a:rPr lang="en-US" baseline="0"/>
              <a:t> of Students</a:t>
            </a:r>
            <a:endParaRPr lang="en-US"/>
          </a:p>
        </c:rich>
      </c:tx>
      <c:overlay val="0"/>
      <c:spPr>
        <a:solidFill>
          <a:srgbClr val="FFC000"/>
        </a:solidFill>
      </c:spPr>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Sheet1!$E$3</c:f>
              <c:strCache>
                <c:ptCount val="1"/>
                <c:pt idx="0">
                  <c:v>Total</c:v>
                </c:pt>
              </c:strCache>
            </c:strRef>
          </c:tx>
          <c:marker>
            <c:symbol val="none"/>
          </c:marker>
          <c:cat>
            <c:strRef>
              <c:f>Sheet1!$D$4:$D$65</c:f>
              <c:strCache>
                <c:ptCount val="62"/>
                <c:pt idx="0">
                  <c:v>PRATIMA KAG</c:v>
                </c:pt>
                <c:pt idx="1">
                  <c:v>KRATIKA VERMA</c:v>
                </c:pt>
                <c:pt idx="2">
                  <c:v>SHAILY RATHORE</c:v>
                </c:pt>
                <c:pt idx="3">
                  <c:v>PRACHI PANWAR</c:v>
                </c:pt>
                <c:pt idx="4">
                  <c:v>SADHANA BIRLA</c:v>
                </c:pt>
                <c:pt idx="5">
                  <c:v>MANSEE SAWALE</c:v>
                </c:pt>
                <c:pt idx="6">
                  <c:v>SAKSHI SONI</c:v>
                </c:pt>
                <c:pt idx="7">
                  <c:v>KHUSHI JETHWA</c:v>
                </c:pt>
                <c:pt idx="8">
                  <c:v>MANSHVEE CHOUHAN</c:v>
                </c:pt>
                <c:pt idx="9">
                  <c:v>SAVITA YADAV</c:v>
                </c:pt>
                <c:pt idx="10">
                  <c:v>TWINKLE JADAM</c:v>
                </c:pt>
                <c:pt idx="11">
                  <c:v>PALLAVI PATIDAR</c:v>
                </c:pt>
                <c:pt idx="12">
                  <c:v>DIVY CHATURVEDI</c:v>
                </c:pt>
                <c:pt idx="13">
                  <c:v>MONIKA MOURYA</c:v>
                </c:pt>
                <c:pt idx="14">
                  <c:v>NITIN SEN</c:v>
                </c:pt>
                <c:pt idx="15">
                  <c:v>ARYAN RATHOD</c:v>
                </c:pt>
                <c:pt idx="16">
                  <c:v>PREM RAGHUVANSHI</c:v>
                </c:pt>
                <c:pt idx="17">
                  <c:v>HARIOM YADAV</c:v>
                </c:pt>
                <c:pt idx="18">
                  <c:v>GANESH VARMA</c:v>
                </c:pt>
                <c:pt idx="19">
                  <c:v>DEVASHISH GUPTA</c:v>
                </c:pt>
                <c:pt idx="20">
                  <c:v>AAKASH PIPALDE</c:v>
                </c:pt>
                <c:pt idx="21">
                  <c:v>DIVYANI PAGARE</c:v>
                </c:pt>
                <c:pt idx="22">
                  <c:v>VISHAL PATEL</c:v>
                </c:pt>
                <c:pt idx="23">
                  <c:v>CHINMAY JOSHI</c:v>
                </c:pt>
                <c:pt idx="24">
                  <c:v>YASH GUJARATHI</c:v>
                </c:pt>
                <c:pt idx="25">
                  <c:v>DIVYANSHI PRAJAPAT</c:v>
                </c:pt>
                <c:pt idx="26">
                  <c:v>BHUMI GUPTA</c:v>
                </c:pt>
                <c:pt idx="27">
                  <c:v>HARSHIT RATHOD</c:v>
                </c:pt>
                <c:pt idx="28">
                  <c:v>HARIOM BHAWSAR</c:v>
                </c:pt>
                <c:pt idx="29">
                  <c:v>SONALI VERMA</c:v>
                </c:pt>
                <c:pt idx="30">
                  <c:v>PIYUSH YADAV</c:v>
                </c:pt>
                <c:pt idx="31">
                  <c:v>HASNEHA VERMA</c:v>
                </c:pt>
                <c:pt idx="32">
                  <c:v>VEDANSH JOSHI</c:v>
                </c:pt>
                <c:pt idx="33">
                  <c:v>AMEY BHOKARIKAR</c:v>
                </c:pt>
                <c:pt idx="34">
                  <c:v>AAYUSH PATEL</c:v>
                </c:pt>
                <c:pt idx="35">
                  <c:v>RAJNANDINI CHOUHAN</c:v>
                </c:pt>
                <c:pt idx="36">
                  <c:v>RUDRA NIKHORIA</c:v>
                </c:pt>
                <c:pt idx="37">
                  <c:v>ZAID ALI SAIYED</c:v>
                </c:pt>
                <c:pt idx="38">
                  <c:v>KRISHNA BHAWSAR</c:v>
                </c:pt>
                <c:pt idx="39">
                  <c:v>GOPAL</c:v>
                </c:pt>
                <c:pt idx="40">
                  <c:v>KULDEEP PATIDAR</c:v>
                </c:pt>
                <c:pt idx="41">
                  <c:v>BHUPENDRA VERMA</c:v>
                </c:pt>
                <c:pt idx="42">
                  <c:v>MARATHE NILESH KAILASH</c:v>
                </c:pt>
                <c:pt idx="43">
                  <c:v>PUSHTI MAHAJAN</c:v>
                </c:pt>
                <c:pt idx="44">
                  <c:v>SUDHANSHU KUSHWAH</c:v>
                </c:pt>
                <c:pt idx="45">
                  <c:v>DARSHAN KUSHWAH</c:v>
                </c:pt>
                <c:pt idx="46">
                  <c:v>JATIN MAGRIYA</c:v>
                </c:pt>
                <c:pt idx="47">
                  <c:v>YASH PATHAK</c:v>
                </c:pt>
                <c:pt idx="48">
                  <c:v>PRAYATN FATROD</c:v>
                </c:pt>
                <c:pt idx="49">
                  <c:v>YASHAD SATHE</c:v>
                </c:pt>
                <c:pt idx="50">
                  <c:v>TARANJEET</c:v>
                </c:pt>
                <c:pt idx="51">
                  <c:v>ROHIT BHARGAV</c:v>
                </c:pt>
                <c:pt idx="52">
                  <c:v>LALU KUSHWAH</c:v>
                </c:pt>
                <c:pt idx="53">
                  <c:v>ABIR SAXENA</c:v>
                </c:pt>
                <c:pt idx="54">
                  <c:v>RIZWAN SHEIKH</c:v>
                </c:pt>
                <c:pt idx="55">
                  <c:v>ANTIM JAMLE</c:v>
                </c:pt>
                <c:pt idx="56">
                  <c:v>TARUN RATHOR</c:v>
                </c:pt>
                <c:pt idx="57">
                  <c:v>ARUN KHODE</c:v>
                </c:pt>
                <c:pt idx="58">
                  <c:v>KARTIK GUPTA</c:v>
                </c:pt>
                <c:pt idx="59">
                  <c:v>JAY</c:v>
                </c:pt>
                <c:pt idx="60">
                  <c:v>DIVYASH JAIN</c:v>
                </c:pt>
                <c:pt idx="61">
                  <c:v>KUSHAGRA MALYA</c:v>
                </c:pt>
              </c:strCache>
            </c:strRef>
          </c:cat>
          <c:val>
            <c:numRef>
              <c:f>Sheet1!$E$4:$E$65</c:f>
              <c:numCache>
                <c:formatCode>General</c:formatCode>
                <c:ptCount val="62"/>
                <c:pt idx="0">
                  <c:v>8.25</c:v>
                </c:pt>
                <c:pt idx="1">
                  <c:v>8.0399999999999991</c:v>
                </c:pt>
                <c:pt idx="2">
                  <c:v>8.0399999999999991</c:v>
                </c:pt>
                <c:pt idx="3">
                  <c:v>8</c:v>
                </c:pt>
                <c:pt idx="4">
                  <c:v>7.96</c:v>
                </c:pt>
                <c:pt idx="5">
                  <c:v>7.92</c:v>
                </c:pt>
                <c:pt idx="6">
                  <c:v>7.79</c:v>
                </c:pt>
                <c:pt idx="7">
                  <c:v>7.79</c:v>
                </c:pt>
                <c:pt idx="8">
                  <c:v>7.75</c:v>
                </c:pt>
                <c:pt idx="9">
                  <c:v>7.67</c:v>
                </c:pt>
                <c:pt idx="10">
                  <c:v>7.58</c:v>
                </c:pt>
                <c:pt idx="11">
                  <c:v>7.58</c:v>
                </c:pt>
                <c:pt idx="12">
                  <c:v>7.5</c:v>
                </c:pt>
                <c:pt idx="13">
                  <c:v>7.42</c:v>
                </c:pt>
                <c:pt idx="14">
                  <c:v>7.42</c:v>
                </c:pt>
                <c:pt idx="15">
                  <c:v>7.33</c:v>
                </c:pt>
                <c:pt idx="16">
                  <c:v>7.33</c:v>
                </c:pt>
                <c:pt idx="17">
                  <c:v>7.21</c:v>
                </c:pt>
                <c:pt idx="18">
                  <c:v>7.13</c:v>
                </c:pt>
                <c:pt idx="19">
                  <c:v>7.13</c:v>
                </c:pt>
                <c:pt idx="20">
                  <c:v>7.08</c:v>
                </c:pt>
                <c:pt idx="21">
                  <c:v>7.08</c:v>
                </c:pt>
                <c:pt idx="22">
                  <c:v>7.08</c:v>
                </c:pt>
                <c:pt idx="23">
                  <c:v>7.04</c:v>
                </c:pt>
                <c:pt idx="24">
                  <c:v>7.04</c:v>
                </c:pt>
                <c:pt idx="25">
                  <c:v>7.04</c:v>
                </c:pt>
                <c:pt idx="26">
                  <c:v>7.04</c:v>
                </c:pt>
                <c:pt idx="27">
                  <c:v>6.92</c:v>
                </c:pt>
                <c:pt idx="28">
                  <c:v>6.92</c:v>
                </c:pt>
                <c:pt idx="29">
                  <c:v>6.88</c:v>
                </c:pt>
                <c:pt idx="30">
                  <c:v>6.83</c:v>
                </c:pt>
                <c:pt idx="31">
                  <c:v>6.75</c:v>
                </c:pt>
                <c:pt idx="32">
                  <c:v>6.71</c:v>
                </c:pt>
                <c:pt idx="33">
                  <c:v>6.71</c:v>
                </c:pt>
                <c:pt idx="34">
                  <c:v>6.46</c:v>
                </c:pt>
                <c:pt idx="35">
                  <c:v>6.46</c:v>
                </c:pt>
                <c:pt idx="36">
                  <c:v>6.46</c:v>
                </c:pt>
                <c:pt idx="37">
                  <c:v>6.46</c:v>
                </c:pt>
                <c:pt idx="38">
                  <c:v>6.42</c:v>
                </c:pt>
                <c:pt idx="39">
                  <c:v>6.38</c:v>
                </c:pt>
                <c:pt idx="40">
                  <c:v>6.38</c:v>
                </c:pt>
                <c:pt idx="41">
                  <c:v>6.29</c:v>
                </c:pt>
                <c:pt idx="42">
                  <c:v>6.25</c:v>
                </c:pt>
                <c:pt idx="43">
                  <c:v>6.25</c:v>
                </c:pt>
                <c:pt idx="44">
                  <c:v>6.21</c:v>
                </c:pt>
                <c:pt idx="45">
                  <c:v>6.08</c:v>
                </c:pt>
                <c:pt idx="46">
                  <c:v>6</c:v>
                </c:pt>
                <c:pt idx="47">
                  <c:v>5.96</c:v>
                </c:pt>
                <c:pt idx="48">
                  <c:v>5.96</c:v>
                </c:pt>
                <c:pt idx="49">
                  <c:v>5.75</c:v>
                </c:pt>
                <c:pt idx="50">
                  <c:v>5.75</c:v>
                </c:pt>
                <c:pt idx="51">
                  <c:v>5.5</c:v>
                </c:pt>
                <c:pt idx="52">
                  <c:v>5.42</c:v>
                </c:pt>
                <c:pt idx="53">
                  <c:v>5.38</c:v>
                </c:pt>
                <c:pt idx="54">
                  <c:v>5.33</c:v>
                </c:pt>
                <c:pt idx="55">
                  <c:v>5.33</c:v>
                </c:pt>
                <c:pt idx="56">
                  <c:v>5.33</c:v>
                </c:pt>
                <c:pt idx="57">
                  <c:v>5.21</c:v>
                </c:pt>
                <c:pt idx="58">
                  <c:v>5.04</c:v>
                </c:pt>
                <c:pt idx="59">
                  <c:v>4.92</c:v>
                </c:pt>
                <c:pt idx="60">
                  <c:v>3.54</c:v>
                </c:pt>
                <c:pt idx="61">
                  <c:v>3.08</c:v>
                </c:pt>
              </c:numCache>
            </c:numRef>
          </c:val>
          <c:smooth val="0"/>
          <c:extLst>
            <c:ext xmlns:c16="http://schemas.microsoft.com/office/drawing/2014/chart" uri="{C3380CC4-5D6E-409C-BE32-E72D297353CC}">
              <c16:uniqueId val="{00000000-8E9A-4CAD-B9CF-487BF1734FD3}"/>
            </c:ext>
          </c:extLst>
        </c:ser>
        <c:dLbls>
          <c:showLegendKey val="0"/>
          <c:showVal val="0"/>
          <c:showCatName val="0"/>
          <c:showSerName val="0"/>
          <c:showPercent val="0"/>
          <c:showBubbleSize val="0"/>
        </c:dLbls>
        <c:smooth val="0"/>
        <c:axId val="197433216"/>
        <c:axId val="197434752"/>
      </c:lineChart>
      <c:catAx>
        <c:axId val="197433216"/>
        <c:scaling>
          <c:orientation val="minMax"/>
        </c:scaling>
        <c:delete val="0"/>
        <c:axPos val="b"/>
        <c:numFmt formatCode="General" sourceLinked="0"/>
        <c:majorTickMark val="out"/>
        <c:minorTickMark val="none"/>
        <c:tickLblPos val="nextTo"/>
        <c:crossAx val="197434752"/>
        <c:crosses val="autoZero"/>
        <c:auto val="1"/>
        <c:lblAlgn val="ctr"/>
        <c:lblOffset val="100"/>
        <c:noMultiLvlLbl val="0"/>
      </c:catAx>
      <c:valAx>
        <c:axId val="197434752"/>
        <c:scaling>
          <c:orientation val="minMax"/>
        </c:scaling>
        <c:delete val="0"/>
        <c:axPos val="l"/>
        <c:numFmt formatCode="General" sourceLinked="1"/>
        <c:majorTickMark val="out"/>
        <c:minorTickMark val="none"/>
        <c:tickLblPos val="nextTo"/>
        <c:crossAx val="197433216"/>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 Data Analysis (1).xlsx]Sheet1!PivotTable3</c:name>
    <c:fmtId val="1"/>
  </c:pivotSource>
  <c:chart>
    <c:title>
      <c:tx>
        <c:rich>
          <a:bodyPr/>
          <a:lstStyle/>
          <a:p>
            <a:pPr>
              <a:defRPr/>
            </a:pPr>
            <a:r>
              <a:rPr lang="en-US"/>
              <a:t>CGPA</a:t>
            </a:r>
            <a:r>
              <a:rPr lang="en-US" baseline="0"/>
              <a:t> of Students</a:t>
            </a:r>
            <a:endParaRPr lang="en-US"/>
          </a:p>
        </c:rich>
      </c:tx>
      <c:overlay val="0"/>
      <c:spPr>
        <a:solidFill>
          <a:srgbClr val="FFC000"/>
        </a:solidFill>
      </c:spPr>
    </c:title>
    <c:autoTitleDeleted val="0"/>
    <c:pivotFmts>
      <c:pivotFmt>
        <c:idx val="0"/>
        <c:dLbl>
          <c:idx val="0"/>
          <c:delete val="1"/>
          <c:extLst>
            <c:ext xmlns:c15="http://schemas.microsoft.com/office/drawing/2012/chart" uri="{CE6537A1-D6FC-4f65-9D91-7224C49458BB}"/>
          </c:extLst>
        </c:dLbl>
      </c:pivotFmt>
    </c:pivotFmts>
    <c:plotArea>
      <c:layout/>
      <c:lineChart>
        <c:grouping val="stacked"/>
        <c:varyColors val="0"/>
        <c:ser>
          <c:idx val="0"/>
          <c:order val="0"/>
          <c:tx>
            <c:strRef>
              <c:f>Sheet1!$H$3</c:f>
              <c:strCache>
                <c:ptCount val="1"/>
                <c:pt idx="0">
                  <c:v>Total</c:v>
                </c:pt>
              </c:strCache>
            </c:strRef>
          </c:tx>
          <c:cat>
            <c:strRef>
              <c:f>Sheet1!$G$4:$G$65</c:f>
              <c:strCache>
                <c:ptCount val="62"/>
                <c:pt idx="0">
                  <c:v>PRATIMA KAG</c:v>
                </c:pt>
                <c:pt idx="1">
                  <c:v>KRATIKA VERMA</c:v>
                </c:pt>
                <c:pt idx="2">
                  <c:v>MANSHVEE CHOUHAN</c:v>
                </c:pt>
                <c:pt idx="3">
                  <c:v>SADHANA BIRLA</c:v>
                </c:pt>
                <c:pt idx="4">
                  <c:v>PRACHI PANWAR</c:v>
                </c:pt>
                <c:pt idx="5">
                  <c:v>KHUSHI JETHWA</c:v>
                </c:pt>
                <c:pt idx="6">
                  <c:v>SHAILY RATHORE</c:v>
                </c:pt>
                <c:pt idx="7">
                  <c:v>MONIKA MOURYA</c:v>
                </c:pt>
                <c:pt idx="8">
                  <c:v>TWINKLE JADAM</c:v>
                </c:pt>
                <c:pt idx="9">
                  <c:v>NITIN SEN</c:v>
                </c:pt>
                <c:pt idx="10">
                  <c:v>SAKSHI SONI</c:v>
                </c:pt>
                <c:pt idx="11">
                  <c:v>DEVASHISH GUPTA</c:v>
                </c:pt>
                <c:pt idx="12">
                  <c:v>MANSEE SAWALE</c:v>
                </c:pt>
                <c:pt idx="13">
                  <c:v>PALLAVI PATIDAR</c:v>
                </c:pt>
                <c:pt idx="14">
                  <c:v>SAVITA YADAV</c:v>
                </c:pt>
                <c:pt idx="15">
                  <c:v>CHINMAY JOSHI</c:v>
                </c:pt>
                <c:pt idx="16">
                  <c:v>ARYAN RATHOD</c:v>
                </c:pt>
                <c:pt idx="17">
                  <c:v>DIVYANI PAGARE</c:v>
                </c:pt>
                <c:pt idx="18">
                  <c:v>DIVY CHATURVEDI</c:v>
                </c:pt>
                <c:pt idx="19">
                  <c:v>BHUMI GUPTA</c:v>
                </c:pt>
                <c:pt idx="20">
                  <c:v>DIVYANSHI PRAJAPAT</c:v>
                </c:pt>
                <c:pt idx="21">
                  <c:v>RAJNANDINI CHOUHAN</c:v>
                </c:pt>
                <c:pt idx="22">
                  <c:v>YASH GUJARATHI</c:v>
                </c:pt>
                <c:pt idx="23">
                  <c:v>PIYUSH YADAV</c:v>
                </c:pt>
                <c:pt idx="24">
                  <c:v>AMEY BHOKARIKAR</c:v>
                </c:pt>
                <c:pt idx="25">
                  <c:v>GANESH VARMA</c:v>
                </c:pt>
                <c:pt idx="26">
                  <c:v>HASNEHA VERMA</c:v>
                </c:pt>
                <c:pt idx="27">
                  <c:v>SONALI VERMA</c:v>
                </c:pt>
                <c:pt idx="28">
                  <c:v>KULDEEP PATIDAR</c:v>
                </c:pt>
                <c:pt idx="29">
                  <c:v>HARIOM YADAV</c:v>
                </c:pt>
                <c:pt idx="30">
                  <c:v>AAKASH PIPALDE</c:v>
                </c:pt>
                <c:pt idx="31">
                  <c:v>PREM RAGHUVANSHI</c:v>
                </c:pt>
                <c:pt idx="32">
                  <c:v>HARSHIT RATHOD</c:v>
                </c:pt>
                <c:pt idx="33">
                  <c:v>RUDRA NIKHORIA</c:v>
                </c:pt>
                <c:pt idx="34">
                  <c:v>VISHAL PATEL</c:v>
                </c:pt>
                <c:pt idx="35">
                  <c:v>HARIOM BHAWSAR</c:v>
                </c:pt>
                <c:pt idx="36">
                  <c:v>KRISHNA BHAWSAR</c:v>
                </c:pt>
                <c:pt idx="37">
                  <c:v>AAYUSH PATEL</c:v>
                </c:pt>
                <c:pt idx="38">
                  <c:v>MARATHE NILESH KAILASH</c:v>
                </c:pt>
                <c:pt idx="39">
                  <c:v>BHUPENDRA VERMA</c:v>
                </c:pt>
                <c:pt idx="40">
                  <c:v>PRAYATN FATROD</c:v>
                </c:pt>
                <c:pt idx="41">
                  <c:v>GOPAL</c:v>
                </c:pt>
                <c:pt idx="42">
                  <c:v>PUSHTI MAHAJAN</c:v>
                </c:pt>
                <c:pt idx="43">
                  <c:v>RIZWAN SHEIKH</c:v>
                </c:pt>
                <c:pt idx="44">
                  <c:v>ZAID ALI SAIYED</c:v>
                </c:pt>
                <c:pt idx="45">
                  <c:v>DARSHAN KUSHWAH</c:v>
                </c:pt>
                <c:pt idx="46">
                  <c:v>YASHAD SATHE</c:v>
                </c:pt>
                <c:pt idx="47">
                  <c:v>YASH PATHAK</c:v>
                </c:pt>
                <c:pt idx="48">
                  <c:v>VEDANSH JOSHI</c:v>
                </c:pt>
                <c:pt idx="49">
                  <c:v>SUDHANSHU KUSHWAH</c:v>
                </c:pt>
                <c:pt idx="50">
                  <c:v>LALU KUSHWAH</c:v>
                </c:pt>
                <c:pt idx="51">
                  <c:v>JAY</c:v>
                </c:pt>
                <c:pt idx="52">
                  <c:v>TARANJEET</c:v>
                </c:pt>
                <c:pt idx="53">
                  <c:v>KARTIK GUPTA</c:v>
                </c:pt>
                <c:pt idx="54">
                  <c:v>JATIN MAGRIYA</c:v>
                </c:pt>
                <c:pt idx="55">
                  <c:v>ARUN KHODE</c:v>
                </c:pt>
                <c:pt idx="56">
                  <c:v>ABIR SAXENA</c:v>
                </c:pt>
                <c:pt idx="57">
                  <c:v>ROHIT BHARGAV</c:v>
                </c:pt>
                <c:pt idx="58">
                  <c:v>TARUN RATHOR</c:v>
                </c:pt>
                <c:pt idx="59">
                  <c:v>ANTIM JAMLE</c:v>
                </c:pt>
                <c:pt idx="60">
                  <c:v>DIVYASH JAIN</c:v>
                </c:pt>
                <c:pt idx="61">
                  <c:v>KUSHAGRA MALYA</c:v>
                </c:pt>
              </c:strCache>
            </c:strRef>
          </c:cat>
          <c:val>
            <c:numRef>
              <c:f>Sheet1!$H$4:$H$65</c:f>
              <c:numCache>
                <c:formatCode>General</c:formatCode>
                <c:ptCount val="62"/>
                <c:pt idx="0">
                  <c:v>8.07</c:v>
                </c:pt>
                <c:pt idx="1">
                  <c:v>8.02</c:v>
                </c:pt>
                <c:pt idx="2">
                  <c:v>8.01</c:v>
                </c:pt>
                <c:pt idx="3">
                  <c:v>7.91</c:v>
                </c:pt>
                <c:pt idx="4">
                  <c:v>7.9</c:v>
                </c:pt>
                <c:pt idx="5">
                  <c:v>7.76</c:v>
                </c:pt>
                <c:pt idx="6">
                  <c:v>7.5</c:v>
                </c:pt>
                <c:pt idx="7">
                  <c:v>7.5</c:v>
                </c:pt>
                <c:pt idx="8">
                  <c:v>7.44</c:v>
                </c:pt>
                <c:pt idx="9">
                  <c:v>7.43</c:v>
                </c:pt>
                <c:pt idx="10">
                  <c:v>7.42</c:v>
                </c:pt>
                <c:pt idx="11">
                  <c:v>7.33</c:v>
                </c:pt>
                <c:pt idx="12">
                  <c:v>7.27</c:v>
                </c:pt>
                <c:pt idx="13">
                  <c:v>7.27</c:v>
                </c:pt>
                <c:pt idx="14">
                  <c:v>7.26</c:v>
                </c:pt>
                <c:pt idx="15">
                  <c:v>7.24</c:v>
                </c:pt>
                <c:pt idx="16">
                  <c:v>7.24</c:v>
                </c:pt>
                <c:pt idx="17">
                  <c:v>7.12</c:v>
                </c:pt>
                <c:pt idx="18">
                  <c:v>7.09</c:v>
                </c:pt>
                <c:pt idx="19">
                  <c:v>7.09</c:v>
                </c:pt>
                <c:pt idx="20">
                  <c:v>7.05</c:v>
                </c:pt>
                <c:pt idx="21">
                  <c:v>7.01</c:v>
                </c:pt>
                <c:pt idx="22">
                  <c:v>6.85</c:v>
                </c:pt>
                <c:pt idx="23">
                  <c:v>6.82</c:v>
                </c:pt>
                <c:pt idx="24">
                  <c:v>6.82</c:v>
                </c:pt>
                <c:pt idx="25">
                  <c:v>6.81</c:v>
                </c:pt>
                <c:pt idx="26">
                  <c:v>6.81</c:v>
                </c:pt>
                <c:pt idx="27">
                  <c:v>6.8</c:v>
                </c:pt>
                <c:pt idx="28">
                  <c:v>6.72</c:v>
                </c:pt>
                <c:pt idx="29">
                  <c:v>6.72</c:v>
                </c:pt>
                <c:pt idx="30">
                  <c:v>6.71</c:v>
                </c:pt>
                <c:pt idx="31">
                  <c:v>6.7</c:v>
                </c:pt>
                <c:pt idx="32">
                  <c:v>6.62</c:v>
                </c:pt>
                <c:pt idx="33">
                  <c:v>6.57</c:v>
                </c:pt>
                <c:pt idx="34">
                  <c:v>6.51</c:v>
                </c:pt>
                <c:pt idx="35">
                  <c:v>6.49</c:v>
                </c:pt>
                <c:pt idx="36">
                  <c:v>6.39</c:v>
                </c:pt>
                <c:pt idx="37">
                  <c:v>6.38</c:v>
                </c:pt>
                <c:pt idx="38">
                  <c:v>6.18</c:v>
                </c:pt>
                <c:pt idx="39">
                  <c:v>6.17</c:v>
                </c:pt>
                <c:pt idx="40">
                  <c:v>6.17</c:v>
                </c:pt>
                <c:pt idx="41">
                  <c:v>6.11</c:v>
                </c:pt>
                <c:pt idx="42">
                  <c:v>6.04</c:v>
                </c:pt>
                <c:pt idx="43">
                  <c:v>6.02</c:v>
                </c:pt>
                <c:pt idx="44">
                  <c:v>6.01</c:v>
                </c:pt>
                <c:pt idx="45">
                  <c:v>5.89</c:v>
                </c:pt>
                <c:pt idx="46">
                  <c:v>5.88</c:v>
                </c:pt>
                <c:pt idx="47">
                  <c:v>5.8</c:v>
                </c:pt>
                <c:pt idx="48">
                  <c:v>5.78</c:v>
                </c:pt>
                <c:pt idx="49">
                  <c:v>5.75</c:v>
                </c:pt>
                <c:pt idx="50">
                  <c:v>5.74</c:v>
                </c:pt>
                <c:pt idx="51">
                  <c:v>5.71</c:v>
                </c:pt>
                <c:pt idx="52">
                  <c:v>5.71</c:v>
                </c:pt>
                <c:pt idx="53">
                  <c:v>5.58</c:v>
                </c:pt>
                <c:pt idx="54">
                  <c:v>5.54</c:v>
                </c:pt>
                <c:pt idx="55">
                  <c:v>5.52</c:v>
                </c:pt>
                <c:pt idx="56">
                  <c:v>5.5</c:v>
                </c:pt>
                <c:pt idx="57">
                  <c:v>5.4</c:v>
                </c:pt>
                <c:pt idx="58">
                  <c:v>5.3</c:v>
                </c:pt>
                <c:pt idx="59">
                  <c:v>5.29</c:v>
                </c:pt>
                <c:pt idx="60">
                  <c:v>4.66</c:v>
                </c:pt>
                <c:pt idx="61">
                  <c:v>3.57</c:v>
                </c:pt>
              </c:numCache>
            </c:numRef>
          </c:val>
          <c:smooth val="0"/>
          <c:extLst>
            <c:ext xmlns:c16="http://schemas.microsoft.com/office/drawing/2014/chart" uri="{C3380CC4-5D6E-409C-BE32-E72D297353CC}">
              <c16:uniqueId val="{00000000-5F97-4A30-84AA-9CF0E1CB8601}"/>
            </c:ext>
          </c:extLst>
        </c:ser>
        <c:dLbls>
          <c:showLegendKey val="0"/>
          <c:showVal val="0"/>
          <c:showCatName val="0"/>
          <c:showSerName val="0"/>
          <c:showPercent val="0"/>
          <c:showBubbleSize val="0"/>
        </c:dLbls>
        <c:marker val="1"/>
        <c:smooth val="0"/>
        <c:axId val="197458944"/>
        <c:axId val="197346048"/>
      </c:lineChart>
      <c:catAx>
        <c:axId val="197458944"/>
        <c:scaling>
          <c:orientation val="minMax"/>
        </c:scaling>
        <c:delete val="0"/>
        <c:axPos val="b"/>
        <c:numFmt formatCode="General" sourceLinked="0"/>
        <c:majorTickMark val="out"/>
        <c:minorTickMark val="none"/>
        <c:tickLblPos val="nextTo"/>
        <c:crossAx val="197346048"/>
        <c:crosses val="autoZero"/>
        <c:auto val="1"/>
        <c:lblAlgn val="ctr"/>
        <c:lblOffset val="100"/>
        <c:noMultiLvlLbl val="0"/>
      </c:catAx>
      <c:valAx>
        <c:axId val="197346048"/>
        <c:scaling>
          <c:orientation val="minMax"/>
        </c:scaling>
        <c:delete val="0"/>
        <c:axPos val="l"/>
        <c:numFmt formatCode="General" sourceLinked="1"/>
        <c:majorTickMark val="out"/>
        <c:minorTickMark val="none"/>
        <c:tickLblPos val="nextTo"/>
        <c:crossAx val="197458944"/>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solidFill>
                  <a:schemeClr val="lt1"/>
                </a:solidFill>
                <a:latin typeface="+mn-lt"/>
                <a:ea typeface="+mn-ea"/>
                <a:cs typeface="+mn-cs"/>
              </a:rPr>
              <a:t>Top</a:t>
            </a:r>
            <a:r>
              <a:rPr lang="en-US" b="1" baseline="0">
                <a:solidFill>
                  <a:schemeClr val="lt1"/>
                </a:solidFill>
                <a:latin typeface="+mn-lt"/>
                <a:ea typeface="+mn-ea"/>
                <a:cs typeface="+mn-cs"/>
              </a:rPr>
              <a:t> 10 Students</a:t>
            </a:r>
            <a:endParaRPr lang="en-US" b="1">
              <a:solidFill>
                <a:sysClr val="windowText" lastClr="000000"/>
              </a:solidFill>
            </a:endParaRPr>
          </a:p>
        </c:rich>
      </c:tx>
      <c:overlay val="0"/>
      <c:spPr>
        <a:solidFill>
          <a:schemeClr val="accent3"/>
        </a:solidFill>
        <a:ln w="25400" cap="flat" cmpd="sng" algn="ctr">
          <a:solidFill>
            <a:schemeClr val="accent3">
              <a:shade val="15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lotArea>
      <c:layout/>
      <c:barChart>
        <c:barDir val="bar"/>
        <c:grouping val="clustered"/>
        <c:varyColors val="0"/>
        <c:ser>
          <c:idx val="0"/>
          <c:order val="0"/>
          <c:tx>
            <c:strRef>
              <c:f>Sheet1!$L$33</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Sheet1!$K$34:$K$43</c:f>
              <c:strCache>
                <c:ptCount val="10"/>
                <c:pt idx="0">
                  <c:v>PRATIMA KAG</c:v>
                </c:pt>
                <c:pt idx="1">
                  <c:v>KRATIKA VERMA</c:v>
                </c:pt>
                <c:pt idx="2">
                  <c:v>SHAILY RATHORE</c:v>
                </c:pt>
                <c:pt idx="3">
                  <c:v>PRACHI PANWAR</c:v>
                </c:pt>
                <c:pt idx="4">
                  <c:v>SADHANA BIRLA</c:v>
                </c:pt>
                <c:pt idx="5">
                  <c:v>MANSEE SAWALE</c:v>
                </c:pt>
                <c:pt idx="6">
                  <c:v>SAKSHI SONI</c:v>
                </c:pt>
                <c:pt idx="7">
                  <c:v>KHUSHI JETHWA</c:v>
                </c:pt>
                <c:pt idx="8">
                  <c:v>MANSHVEE CHOUHAN</c:v>
                </c:pt>
                <c:pt idx="9">
                  <c:v>SAVITA YADAV</c:v>
                </c:pt>
              </c:strCache>
            </c:strRef>
          </c:cat>
          <c:val>
            <c:numRef>
              <c:f>Sheet1!$L$34:$L$43</c:f>
              <c:numCache>
                <c:formatCode>General</c:formatCode>
                <c:ptCount val="10"/>
                <c:pt idx="0">
                  <c:v>8.25</c:v>
                </c:pt>
                <c:pt idx="1">
                  <c:v>8.0399999999999991</c:v>
                </c:pt>
                <c:pt idx="2">
                  <c:v>8.0399999999999991</c:v>
                </c:pt>
                <c:pt idx="3">
                  <c:v>8</c:v>
                </c:pt>
                <c:pt idx="4">
                  <c:v>7.96</c:v>
                </c:pt>
                <c:pt idx="5">
                  <c:v>7.92</c:v>
                </c:pt>
                <c:pt idx="6">
                  <c:v>7.79</c:v>
                </c:pt>
                <c:pt idx="7">
                  <c:v>7.79</c:v>
                </c:pt>
                <c:pt idx="8">
                  <c:v>7.75</c:v>
                </c:pt>
                <c:pt idx="9">
                  <c:v>7.67</c:v>
                </c:pt>
              </c:numCache>
            </c:numRef>
          </c:val>
          <c:extLst>
            <c:ext xmlns:c16="http://schemas.microsoft.com/office/drawing/2014/chart" uri="{C3380CC4-5D6E-409C-BE32-E72D297353CC}">
              <c16:uniqueId val="{00000000-8413-4CEF-92FF-2A316CD10189}"/>
            </c:ext>
          </c:extLst>
        </c:ser>
        <c:dLbls>
          <c:showLegendKey val="0"/>
          <c:showVal val="0"/>
          <c:showCatName val="0"/>
          <c:showSerName val="0"/>
          <c:showPercent val="0"/>
          <c:showBubbleSize val="0"/>
        </c:dLbls>
        <c:gapWidth val="182"/>
        <c:axId val="518803616"/>
        <c:axId val="518327712"/>
      </c:barChart>
      <c:catAx>
        <c:axId val="5188036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327712"/>
        <c:crosses val="autoZero"/>
        <c:auto val="1"/>
        <c:lblAlgn val="ctr"/>
        <c:lblOffset val="100"/>
        <c:noMultiLvlLbl val="0"/>
      </c:catAx>
      <c:valAx>
        <c:axId val="518327712"/>
        <c:scaling>
          <c:orientation val="minMax"/>
        </c:scaling>
        <c:delete val="1"/>
        <c:axPos val="t"/>
        <c:numFmt formatCode="General" sourceLinked="1"/>
        <c:majorTickMark val="none"/>
        <c:minorTickMark val="none"/>
        <c:tickLblPos val="nextTo"/>
        <c:crossAx val="518803616"/>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b="1">
                <a:solidFill>
                  <a:schemeClr val="lt1"/>
                </a:solidFill>
                <a:latin typeface="+mn-lt"/>
                <a:ea typeface="+mn-ea"/>
                <a:cs typeface="+mn-cs"/>
              </a:rPr>
              <a:t>Bottom</a:t>
            </a:r>
            <a:r>
              <a:rPr lang="en-IN" b="1" baseline="0">
                <a:solidFill>
                  <a:schemeClr val="lt1"/>
                </a:solidFill>
                <a:latin typeface="+mn-lt"/>
                <a:ea typeface="+mn-ea"/>
                <a:cs typeface="+mn-cs"/>
              </a:rPr>
              <a:t> 10 Students</a:t>
            </a:r>
            <a:endParaRPr lang="en-IN" b="1"/>
          </a:p>
        </c:rich>
      </c:tx>
      <c:overlay val="0"/>
      <c:spPr>
        <a:solidFill>
          <a:schemeClr val="accent2"/>
        </a:solidFill>
        <a:ln w="25400" cap="flat" cmpd="sng" algn="ctr">
          <a:solidFill>
            <a:schemeClr val="tx1"/>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Sheet1!$K$62:$K$71</c:f>
              <c:strCache>
                <c:ptCount val="10"/>
                <c:pt idx="0">
                  <c:v>LALU KUSHWAH</c:v>
                </c:pt>
                <c:pt idx="1">
                  <c:v>ABIR SAXENA</c:v>
                </c:pt>
                <c:pt idx="2">
                  <c:v>RIZWAN SHEIKH</c:v>
                </c:pt>
                <c:pt idx="3">
                  <c:v>ANTIM JAMLE</c:v>
                </c:pt>
                <c:pt idx="4">
                  <c:v>TARUN RATHOR</c:v>
                </c:pt>
                <c:pt idx="5">
                  <c:v>ARUN KHODE</c:v>
                </c:pt>
                <c:pt idx="6">
                  <c:v>KARTIK GUPTA</c:v>
                </c:pt>
                <c:pt idx="7">
                  <c:v>JAY</c:v>
                </c:pt>
                <c:pt idx="8">
                  <c:v>DIVYASH JAIN</c:v>
                </c:pt>
                <c:pt idx="9">
                  <c:v>KUSHAGRA MALYA</c:v>
                </c:pt>
              </c:strCache>
            </c:strRef>
          </c:cat>
          <c:val>
            <c:numRef>
              <c:f>Sheet1!$L$62:$L$71</c:f>
              <c:numCache>
                <c:formatCode>General</c:formatCode>
                <c:ptCount val="10"/>
                <c:pt idx="0">
                  <c:v>5.42</c:v>
                </c:pt>
                <c:pt idx="1">
                  <c:v>5.38</c:v>
                </c:pt>
                <c:pt idx="2">
                  <c:v>5.33</c:v>
                </c:pt>
                <c:pt idx="3">
                  <c:v>5.33</c:v>
                </c:pt>
                <c:pt idx="4">
                  <c:v>5.33</c:v>
                </c:pt>
                <c:pt idx="5">
                  <c:v>5.21</c:v>
                </c:pt>
                <c:pt idx="6">
                  <c:v>5.04</c:v>
                </c:pt>
                <c:pt idx="7">
                  <c:v>4.92</c:v>
                </c:pt>
                <c:pt idx="8">
                  <c:v>3.54</c:v>
                </c:pt>
                <c:pt idx="9">
                  <c:v>3.08</c:v>
                </c:pt>
              </c:numCache>
            </c:numRef>
          </c:val>
          <c:extLst>
            <c:ext xmlns:c16="http://schemas.microsoft.com/office/drawing/2014/chart" uri="{C3380CC4-5D6E-409C-BE32-E72D297353CC}">
              <c16:uniqueId val="{00000000-D55D-41D5-92F0-B8BEDB80E335}"/>
            </c:ext>
          </c:extLst>
        </c:ser>
        <c:dLbls>
          <c:showLegendKey val="0"/>
          <c:showVal val="0"/>
          <c:showCatName val="0"/>
          <c:showSerName val="0"/>
          <c:showPercent val="0"/>
          <c:showBubbleSize val="0"/>
        </c:dLbls>
        <c:gapWidth val="182"/>
        <c:axId val="562405792"/>
        <c:axId val="562409632"/>
      </c:barChart>
      <c:catAx>
        <c:axId val="5624057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9632"/>
        <c:crosses val="autoZero"/>
        <c:auto val="1"/>
        <c:lblAlgn val="ctr"/>
        <c:lblOffset val="100"/>
        <c:noMultiLvlLbl val="0"/>
      </c:catAx>
      <c:valAx>
        <c:axId val="562409632"/>
        <c:scaling>
          <c:orientation val="minMax"/>
        </c:scaling>
        <c:delete val="1"/>
        <c:axPos val="t"/>
        <c:numFmt formatCode="General" sourceLinked="1"/>
        <c:majorTickMark val="none"/>
        <c:minorTickMark val="none"/>
        <c:tickLblPos val="nextTo"/>
        <c:crossAx val="562405792"/>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 Data Analysis (1).xlsx]Sheet1!PivotTable1</c:name>
    <c:fmtId val="2"/>
  </c:pivotSource>
  <c:chart>
    <c:title>
      <c:tx>
        <c:rich>
          <a:bodyPr/>
          <a:lstStyle/>
          <a:p>
            <a:pPr>
              <a:defRPr/>
            </a:pPr>
            <a:r>
              <a:rPr lang="en-US" baseline="0"/>
              <a:t>Student Academic Performance</a:t>
            </a:r>
            <a:endParaRPr lang="en-US"/>
          </a:p>
        </c:rich>
      </c:tx>
      <c:overlay val="0"/>
      <c:spPr>
        <a:solidFill>
          <a:srgbClr val="FFC000"/>
        </a:solidFill>
      </c:spPr>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Sheet1!$A$4:$A$8</c:f>
              <c:strCache>
                <c:ptCount val="5"/>
                <c:pt idx="0">
                  <c:v>PASS</c:v>
                </c:pt>
                <c:pt idx="1">
                  <c:v>PASS WITH GRACE</c:v>
                </c:pt>
                <c:pt idx="2">
                  <c:v>Fail in AL401</c:v>
                </c:pt>
                <c:pt idx="3">
                  <c:v>Fail in AL401,AL402,AL405</c:v>
                </c:pt>
                <c:pt idx="4">
                  <c:v>Fail in AL405</c:v>
                </c:pt>
              </c:strCache>
            </c:strRef>
          </c:cat>
          <c:val>
            <c:numRef>
              <c:f>Sheet1!$B$4:$B$8</c:f>
              <c:numCache>
                <c:formatCode>General</c:formatCode>
                <c:ptCount val="5"/>
                <c:pt idx="0">
                  <c:v>48</c:v>
                </c:pt>
                <c:pt idx="1">
                  <c:v>6</c:v>
                </c:pt>
                <c:pt idx="2">
                  <c:v>5</c:v>
                </c:pt>
                <c:pt idx="3">
                  <c:v>2</c:v>
                </c:pt>
                <c:pt idx="4">
                  <c:v>1</c:v>
                </c:pt>
              </c:numCache>
            </c:numRef>
          </c:val>
          <c:extLst>
            <c:ext xmlns:c16="http://schemas.microsoft.com/office/drawing/2014/chart" uri="{C3380CC4-5D6E-409C-BE32-E72D297353CC}">
              <c16:uniqueId val="{00000000-64BE-41CD-8117-C35F4FD855B1}"/>
            </c:ext>
          </c:extLst>
        </c:ser>
        <c:dLbls>
          <c:showLegendKey val="0"/>
          <c:showVal val="0"/>
          <c:showCatName val="0"/>
          <c:showSerName val="0"/>
          <c:showPercent val="0"/>
          <c:showBubbleSize val="0"/>
        </c:dLbls>
        <c:gapWidth val="150"/>
        <c:axId val="197213568"/>
        <c:axId val="197219456"/>
      </c:barChart>
      <c:catAx>
        <c:axId val="197213568"/>
        <c:scaling>
          <c:orientation val="minMax"/>
        </c:scaling>
        <c:delete val="0"/>
        <c:axPos val="b"/>
        <c:numFmt formatCode="General" sourceLinked="0"/>
        <c:majorTickMark val="out"/>
        <c:minorTickMark val="none"/>
        <c:tickLblPos val="nextTo"/>
        <c:crossAx val="197219456"/>
        <c:crosses val="autoZero"/>
        <c:auto val="1"/>
        <c:lblAlgn val="ctr"/>
        <c:lblOffset val="100"/>
        <c:noMultiLvlLbl val="0"/>
      </c:catAx>
      <c:valAx>
        <c:axId val="197219456"/>
        <c:scaling>
          <c:orientation val="minMax"/>
        </c:scaling>
        <c:delete val="0"/>
        <c:axPos val="l"/>
        <c:numFmt formatCode="General" sourceLinked="1"/>
        <c:majorTickMark val="out"/>
        <c:minorTickMark val="none"/>
        <c:tickLblPos val="nextTo"/>
        <c:crossAx val="197213568"/>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 Data Analysis (1).xlsx]Sheet1!PivotTable2</c:name>
    <c:fmtId val="4"/>
  </c:pivotSource>
  <c:chart>
    <c:title>
      <c:tx>
        <c:rich>
          <a:bodyPr/>
          <a:lstStyle/>
          <a:p>
            <a:pPr>
              <a:defRPr/>
            </a:pPr>
            <a:r>
              <a:rPr lang="en-US"/>
              <a:t>SGPA</a:t>
            </a:r>
            <a:r>
              <a:rPr lang="en-US" baseline="0"/>
              <a:t> of Students</a:t>
            </a:r>
            <a:endParaRPr lang="en-US"/>
          </a:p>
        </c:rich>
      </c:tx>
      <c:overlay val="0"/>
      <c:spPr>
        <a:solidFill>
          <a:srgbClr val="FFC000"/>
        </a:solidFill>
      </c:spPr>
    </c:title>
    <c:autoTitleDeleted val="0"/>
    <c:pivotFmts>
      <c:pivotFmt>
        <c:idx val="0"/>
        <c:marker>
          <c:symbol val="none"/>
        </c:marker>
      </c:pivotFmt>
      <c:pivotFmt>
        <c:idx val="1"/>
        <c:marker>
          <c:symbol val="none"/>
        </c:marker>
      </c:pivotFmt>
      <c:pivotFmt>
        <c:idx val="2"/>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c:f>
              <c:strCache>
                <c:ptCount val="1"/>
                <c:pt idx="0">
                  <c:v>Total</c:v>
                </c:pt>
              </c:strCache>
            </c:strRef>
          </c:tx>
          <c:marker>
            <c:symbol val="none"/>
          </c:marker>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Sheet1!$D$4:$D$65</c:f>
              <c:strCache>
                <c:ptCount val="62"/>
                <c:pt idx="0">
                  <c:v>PRATIMA KAG</c:v>
                </c:pt>
                <c:pt idx="1">
                  <c:v>KRATIKA VERMA</c:v>
                </c:pt>
                <c:pt idx="2">
                  <c:v>SHAILY RATHORE</c:v>
                </c:pt>
                <c:pt idx="3">
                  <c:v>PRACHI PANWAR</c:v>
                </c:pt>
                <c:pt idx="4">
                  <c:v>SADHANA BIRLA</c:v>
                </c:pt>
                <c:pt idx="5">
                  <c:v>MANSEE SAWALE</c:v>
                </c:pt>
                <c:pt idx="6">
                  <c:v>SAKSHI SONI</c:v>
                </c:pt>
                <c:pt idx="7">
                  <c:v>KHUSHI JETHWA</c:v>
                </c:pt>
                <c:pt idx="8">
                  <c:v>MANSHVEE CHOUHAN</c:v>
                </c:pt>
                <c:pt idx="9">
                  <c:v>SAVITA YADAV</c:v>
                </c:pt>
                <c:pt idx="10">
                  <c:v>TWINKLE JADAM</c:v>
                </c:pt>
                <c:pt idx="11">
                  <c:v>PALLAVI PATIDAR</c:v>
                </c:pt>
                <c:pt idx="12">
                  <c:v>DIVY CHATURVEDI</c:v>
                </c:pt>
                <c:pt idx="13">
                  <c:v>MONIKA MOURYA</c:v>
                </c:pt>
                <c:pt idx="14">
                  <c:v>NITIN SEN</c:v>
                </c:pt>
                <c:pt idx="15">
                  <c:v>ARYAN RATHOD</c:v>
                </c:pt>
                <c:pt idx="16">
                  <c:v>PREM RAGHUVANSHI</c:v>
                </c:pt>
                <c:pt idx="17">
                  <c:v>HARIOM YADAV</c:v>
                </c:pt>
                <c:pt idx="18">
                  <c:v>GANESH VARMA</c:v>
                </c:pt>
                <c:pt idx="19">
                  <c:v>DEVASHISH GUPTA</c:v>
                </c:pt>
                <c:pt idx="20">
                  <c:v>AAKASH PIPALDE</c:v>
                </c:pt>
                <c:pt idx="21">
                  <c:v>DIVYANI PAGARE</c:v>
                </c:pt>
                <c:pt idx="22">
                  <c:v>VISHAL PATEL</c:v>
                </c:pt>
                <c:pt idx="23">
                  <c:v>CHINMAY JOSHI</c:v>
                </c:pt>
                <c:pt idx="24">
                  <c:v>YASH GUJARATHI</c:v>
                </c:pt>
                <c:pt idx="25">
                  <c:v>DIVYANSHI PRAJAPAT</c:v>
                </c:pt>
                <c:pt idx="26">
                  <c:v>BHUMI GUPTA</c:v>
                </c:pt>
                <c:pt idx="27">
                  <c:v>HARSHIT RATHOD</c:v>
                </c:pt>
                <c:pt idx="28">
                  <c:v>HARIOM BHAWSAR</c:v>
                </c:pt>
                <c:pt idx="29">
                  <c:v>SONALI VERMA</c:v>
                </c:pt>
                <c:pt idx="30">
                  <c:v>PIYUSH YADAV</c:v>
                </c:pt>
                <c:pt idx="31">
                  <c:v>HASNEHA VERMA</c:v>
                </c:pt>
                <c:pt idx="32">
                  <c:v>VEDANSH JOSHI</c:v>
                </c:pt>
                <c:pt idx="33">
                  <c:v>AMEY BHOKARIKAR</c:v>
                </c:pt>
                <c:pt idx="34">
                  <c:v>AAYUSH PATEL</c:v>
                </c:pt>
                <c:pt idx="35">
                  <c:v>RAJNANDINI CHOUHAN</c:v>
                </c:pt>
                <c:pt idx="36">
                  <c:v>RUDRA NIKHORIA</c:v>
                </c:pt>
                <c:pt idx="37">
                  <c:v>ZAID ALI SAIYED</c:v>
                </c:pt>
                <c:pt idx="38">
                  <c:v>KRISHNA BHAWSAR</c:v>
                </c:pt>
                <c:pt idx="39">
                  <c:v>GOPAL</c:v>
                </c:pt>
                <c:pt idx="40">
                  <c:v>KULDEEP PATIDAR</c:v>
                </c:pt>
                <c:pt idx="41">
                  <c:v>BHUPENDRA VERMA</c:v>
                </c:pt>
                <c:pt idx="42">
                  <c:v>MARATHE NILESH KAILASH</c:v>
                </c:pt>
                <c:pt idx="43">
                  <c:v>PUSHTI MAHAJAN</c:v>
                </c:pt>
                <c:pt idx="44">
                  <c:v>SUDHANSHU KUSHWAH</c:v>
                </c:pt>
                <c:pt idx="45">
                  <c:v>DARSHAN KUSHWAH</c:v>
                </c:pt>
                <c:pt idx="46">
                  <c:v>JATIN MAGRIYA</c:v>
                </c:pt>
                <c:pt idx="47">
                  <c:v>YASH PATHAK</c:v>
                </c:pt>
                <c:pt idx="48">
                  <c:v>PRAYATN FATROD</c:v>
                </c:pt>
                <c:pt idx="49">
                  <c:v>YASHAD SATHE</c:v>
                </c:pt>
                <c:pt idx="50">
                  <c:v>TARANJEET</c:v>
                </c:pt>
                <c:pt idx="51">
                  <c:v>ROHIT BHARGAV</c:v>
                </c:pt>
                <c:pt idx="52">
                  <c:v>LALU KUSHWAH</c:v>
                </c:pt>
                <c:pt idx="53">
                  <c:v>ABIR SAXENA</c:v>
                </c:pt>
                <c:pt idx="54">
                  <c:v>RIZWAN SHEIKH</c:v>
                </c:pt>
                <c:pt idx="55">
                  <c:v>ANTIM JAMLE</c:v>
                </c:pt>
                <c:pt idx="56">
                  <c:v>TARUN RATHOR</c:v>
                </c:pt>
                <c:pt idx="57">
                  <c:v>ARUN KHODE</c:v>
                </c:pt>
                <c:pt idx="58">
                  <c:v>KARTIK GUPTA</c:v>
                </c:pt>
                <c:pt idx="59">
                  <c:v>JAY</c:v>
                </c:pt>
                <c:pt idx="60">
                  <c:v>DIVYASH JAIN</c:v>
                </c:pt>
                <c:pt idx="61">
                  <c:v>KUSHAGRA MALYA</c:v>
                </c:pt>
              </c:strCache>
            </c:strRef>
          </c:cat>
          <c:val>
            <c:numRef>
              <c:f>Sheet1!$E$4:$E$65</c:f>
              <c:numCache>
                <c:formatCode>General</c:formatCode>
                <c:ptCount val="62"/>
                <c:pt idx="0">
                  <c:v>8.25</c:v>
                </c:pt>
                <c:pt idx="1">
                  <c:v>8.0399999999999991</c:v>
                </c:pt>
                <c:pt idx="2">
                  <c:v>8.0399999999999991</c:v>
                </c:pt>
                <c:pt idx="3">
                  <c:v>8</c:v>
                </c:pt>
                <c:pt idx="4">
                  <c:v>7.96</c:v>
                </c:pt>
                <c:pt idx="5">
                  <c:v>7.92</c:v>
                </c:pt>
                <c:pt idx="6">
                  <c:v>7.79</c:v>
                </c:pt>
                <c:pt idx="7">
                  <c:v>7.79</c:v>
                </c:pt>
                <c:pt idx="8">
                  <c:v>7.75</c:v>
                </c:pt>
                <c:pt idx="9">
                  <c:v>7.67</c:v>
                </c:pt>
                <c:pt idx="10">
                  <c:v>7.58</c:v>
                </c:pt>
                <c:pt idx="11">
                  <c:v>7.58</c:v>
                </c:pt>
                <c:pt idx="12">
                  <c:v>7.5</c:v>
                </c:pt>
                <c:pt idx="13">
                  <c:v>7.42</c:v>
                </c:pt>
                <c:pt idx="14">
                  <c:v>7.42</c:v>
                </c:pt>
                <c:pt idx="15">
                  <c:v>7.33</c:v>
                </c:pt>
                <c:pt idx="16">
                  <c:v>7.33</c:v>
                </c:pt>
                <c:pt idx="17">
                  <c:v>7.21</c:v>
                </c:pt>
                <c:pt idx="18">
                  <c:v>7.13</c:v>
                </c:pt>
                <c:pt idx="19">
                  <c:v>7.13</c:v>
                </c:pt>
                <c:pt idx="20">
                  <c:v>7.08</c:v>
                </c:pt>
                <c:pt idx="21">
                  <c:v>7.08</c:v>
                </c:pt>
                <c:pt idx="22">
                  <c:v>7.08</c:v>
                </c:pt>
                <c:pt idx="23">
                  <c:v>7.04</c:v>
                </c:pt>
                <c:pt idx="24">
                  <c:v>7.04</c:v>
                </c:pt>
                <c:pt idx="25">
                  <c:v>7.04</c:v>
                </c:pt>
                <c:pt idx="26">
                  <c:v>7.04</c:v>
                </c:pt>
                <c:pt idx="27">
                  <c:v>6.92</c:v>
                </c:pt>
                <c:pt idx="28">
                  <c:v>6.92</c:v>
                </c:pt>
                <c:pt idx="29">
                  <c:v>6.88</c:v>
                </c:pt>
                <c:pt idx="30">
                  <c:v>6.83</c:v>
                </c:pt>
                <c:pt idx="31">
                  <c:v>6.75</c:v>
                </c:pt>
                <c:pt idx="32">
                  <c:v>6.71</c:v>
                </c:pt>
                <c:pt idx="33">
                  <c:v>6.71</c:v>
                </c:pt>
                <c:pt idx="34">
                  <c:v>6.46</c:v>
                </c:pt>
                <c:pt idx="35">
                  <c:v>6.46</c:v>
                </c:pt>
                <c:pt idx="36">
                  <c:v>6.46</c:v>
                </c:pt>
                <c:pt idx="37">
                  <c:v>6.46</c:v>
                </c:pt>
                <c:pt idx="38">
                  <c:v>6.42</c:v>
                </c:pt>
                <c:pt idx="39">
                  <c:v>6.38</c:v>
                </c:pt>
                <c:pt idx="40">
                  <c:v>6.38</c:v>
                </c:pt>
                <c:pt idx="41">
                  <c:v>6.29</c:v>
                </c:pt>
                <c:pt idx="42">
                  <c:v>6.25</c:v>
                </c:pt>
                <c:pt idx="43">
                  <c:v>6.25</c:v>
                </c:pt>
                <c:pt idx="44">
                  <c:v>6.21</c:v>
                </c:pt>
                <c:pt idx="45">
                  <c:v>6.08</c:v>
                </c:pt>
                <c:pt idx="46">
                  <c:v>6</c:v>
                </c:pt>
                <c:pt idx="47">
                  <c:v>5.96</c:v>
                </c:pt>
                <c:pt idx="48">
                  <c:v>5.96</c:v>
                </c:pt>
                <c:pt idx="49">
                  <c:v>5.75</c:v>
                </c:pt>
                <c:pt idx="50">
                  <c:v>5.75</c:v>
                </c:pt>
                <c:pt idx="51">
                  <c:v>5.5</c:v>
                </c:pt>
                <c:pt idx="52">
                  <c:v>5.42</c:v>
                </c:pt>
                <c:pt idx="53">
                  <c:v>5.38</c:v>
                </c:pt>
                <c:pt idx="54">
                  <c:v>5.33</c:v>
                </c:pt>
                <c:pt idx="55">
                  <c:v>5.33</c:v>
                </c:pt>
                <c:pt idx="56">
                  <c:v>5.33</c:v>
                </c:pt>
                <c:pt idx="57">
                  <c:v>5.21</c:v>
                </c:pt>
                <c:pt idx="58">
                  <c:v>5.04</c:v>
                </c:pt>
                <c:pt idx="59">
                  <c:v>4.92</c:v>
                </c:pt>
                <c:pt idx="60">
                  <c:v>3.54</c:v>
                </c:pt>
                <c:pt idx="61">
                  <c:v>3.08</c:v>
                </c:pt>
              </c:numCache>
            </c:numRef>
          </c:val>
          <c:smooth val="0"/>
          <c:extLst>
            <c:ext xmlns:c16="http://schemas.microsoft.com/office/drawing/2014/chart" uri="{C3380CC4-5D6E-409C-BE32-E72D297353CC}">
              <c16:uniqueId val="{00000000-3940-408A-B4E1-B4B50B48243B}"/>
            </c:ext>
          </c:extLst>
        </c:ser>
        <c:dLbls>
          <c:showLegendKey val="0"/>
          <c:showVal val="0"/>
          <c:showCatName val="0"/>
          <c:showSerName val="0"/>
          <c:showPercent val="0"/>
          <c:showBubbleSize val="0"/>
        </c:dLbls>
        <c:smooth val="0"/>
        <c:axId val="197256704"/>
        <c:axId val="197258240"/>
      </c:lineChart>
      <c:catAx>
        <c:axId val="197256704"/>
        <c:scaling>
          <c:orientation val="minMax"/>
        </c:scaling>
        <c:delete val="0"/>
        <c:axPos val="b"/>
        <c:numFmt formatCode="General" sourceLinked="0"/>
        <c:majorTickMark val="out"/>
        <c:minorTickMark val="none"/>
        <c:tickLblPos val="nextTo"/>
        <c:crossAx val="197258240"/>
        <c:crosses val="autoZero"/>
        <c:auto val="1"/>
        <c:lblAlgn val="ctr"/>
        <c:lblOffset val="100"/>
        <c:noMultiLvlLbl val="0"/>
      </c:catAx>
      <c:valAx>
        <c:axId val="197258240"/>
        <c:scaling>
          <c:orientation val="minMax"/>
        </c:scaling>
        <c:delete val="0"/>
        <c:axPos val="l"/>
        <c:numFmt formatCode="General" sourceLinked="1"/>
        <c:majorTickMark val="out"/>
        <c:minorTickMark val="none"/>
        <c:tickLblPos val="nextTo"/>
        <c:crossAx val="197256704"/>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 Data Analysis (1).xlsx]Sheet1!PivotTable3</c:name>
    <c:fmtId val="6"/>
  </c:pivotSource>
  <c:chart>
    <c:title>
      <c:tx>
        <c:rich>
          <a:bodyPr/>
          <a:lstStyle/>
          <a:p>
            <a:pPr>
              <a:defRPr/>
            </a:pPr>
            <a:r>
              <a:rPr lang="en-US"/>
              <a:t>CGPA</a:t>
            </a:r>
            <a:r>
              <a:rPr lang="en-US" baseline="0"/>
              <a:t> of Students</a:t>
            </a:r>
            <a:endParaRPr lang="en-US"/>
          </a:p>
        </c:rich>
      </c:tx>
      <c:layout>
        <c:manualLayout>
          <c:xMode val="edge"/>
          <c:yMode val="edge"/>
          <c:x val="0.36042912759911372"/>
          <c:y val="5.7971014492753624E-2"/>
        </c:manualLayout>
      </c:layout>
      <c:overlay val="0"/>
      <c:spPr>
        <a:solidFill>
          <a:srgbClr val="FFC000"/>
        </a:solidFill>
      </c:spPr>
    </c:title>
    <c:autoTitleDeleted val="0"/>
    <c:pivotFmts>
      <c:pivotFmt>
        <c:idx val="0"/>
      </c:pivotFmt>
      <c:pivotFmt>
        <c:idx val="1"/>
      </c:pivotFmt>
      <c:pivotFmt>
        <c:idx val="2"/>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Sheet1!$H$3</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Sheet1!$G$4:$G$65</c:f>
              <c:strCache>
                <c:ptCount val="62"/>
                <c:pt idx="0">
                  <c:v>PRATIMA KAG</c:v>
                </c:pt>
                <c:pt idx="1">
                  <c:v>KRATIKA VERMA</c:v>
                </c:pt>
                <c:pt idx="2">
                  <c:v>MANSHVEE CHOUHAN</c:v>
                </c:pt>
                <c:pt idx="3">
                  <c:v>SADHANA BIRLA</c:v>
                </c:pt>
                <c:pt idx="4">
                  <c:v>PRACHI PANWAR</c:v>
                </c:pt>
                <c:pt idx="5">
                  <c:v>KHUSHI JETHWA</c:v>
                </c:pt>
                <c:pt idx="6">
                  <c:v>SHAILY RATHORE</c:v>
                </c:pt>
                <c:pt idx="7">
                  <c:v>MONIKA MOURYA</c:v>
                </c:pt>
                <c:pt idx="8">
                  <c:v>TWINKLE JADAM</c:v>
                </c:pt>
                <c:pt idx="9">
                  <c:v>NITIN SEN</c:v>
                </c:pt>
                <c:pt idx="10">
                  <c:v>SAKSHI SONI</c:v>
                </c:pt>
                <c:pt idx="11">
                  <c:v>DEVASHISH GUPTA</c:v>
                </c:pt>
                <c:pt idx="12">
                  <c:v>MANSEE SAWALE</c:v>
                </c:pt>
                <c:pt idx="13">
                  <c:v>PALLAVI PATIDAR</c:v>
                </c:pt>
                <c:pt idx="14">
                  <c:v>SAVITA YADAV</c:v>
                </c:pt>
                <c:pt idx="15">
                  <c:v>CHINMAY JOSHI</c:v>
                </c:pt>
                <c:pt idx="16">
                  <c:v>ARYAN RATHOD</c:v>
                </c:pt>
                <c:pt idx="17">
                  <c:v>DIVYANI PAGARE</c:v>
                </c:pt>
                <c:pt idx="18">
                  <c:v>DIVY CHATURVEDI</c:v>
                </c:pt>
                <c:pt idx="19">
                  <c:v>BHUMI GUPTA</c:v>
                </c:pt>
                <c:pt idx="20">
                  <c:v>DIVYANSHI PRAJAPAT</c:v>
                </c:pt>
                <c:pt idx="21">
                  <c:v>RAJNANDINI CHOUHAN</c:v>
                </c:pt>
                <c:pt idx="22">
                  <c:v>YASH GUJARATHI</c:v>
                </c:pt>
                <c:pt idx="23">
                  <c:v>PIYUSH YADAV</c:v>
                </c:pt>
                <c:pt idx="24">
                  <c:v>AMEY BHOKARIKAR</c:v>
                </c:pt>
                <c:pt idx="25">
                  <c:v>GANESH VARMA</c:v>
                </c:pt>
                <c:pt idx="26">
                  <c:v>HASNEHA VERMA</c:v>
                </c:pt>
                <c:pt idx="27">
                  <c:v>SONALI VERMA</c:v>
                </c:pt>
                <c:pt idx="28">
                  <c:v>KULDEEP PATIDAR</c:v>
                </c:pt>
                <c:pt idx="29">
                  <c:v>HARIOM YADAV</c:v>
                </c:pt>
                <c:pt idx="30">
                  <c:v>AAKASH PIPALDE</c:v>
                </c:pt>
                <c:pt idx="31">
                  <c:v>PREM RAGHUVANSHI</c:v>
                </c:pt>
                <c:pt idx="32">
                  <c:v>HARSHIT RATHOD</c:v>
                </c:pt>
                <c:pt idx="33">
                  <c:v>RUDRA NIKHORIA</c:v>
                </c:pt>
                <c:pt idx="34">
                  <c:v>VISHAL PATEL</c:v>
                </c:pt>
                <c:pt idx="35">
                  <c:v>HARIOM BHAWSAR</c:v>
                </c:pt>
                <c:pt idx="36">
                  <c:v>KRISHNA BHAWSAR</c:v>
                </c:pt>
                <c:pt idx="37">
                  <c:v>AAYUSH PATEL</c:v>
                </c:pt>
                <c:pt idx="38">
                  <c:v>MARATHE NILESH KAILASH</c:v>
                </c:pt>
                <c:pt idx="39">
                  <c:v>BHUPENDRA VERMA</c:v>
                </c:pt>
                <c:pt idx="40">
                  <c:v>PRAYATN FATROD</c:v>
                </c:pt>
                <c:pt idx="41">
                  <c:v>GOPAL</c:v>
                </c:pt>
                <c:pt idx="42">
                  <c:v>PUSHTI MAHAJAN</c:v>
                </c:pt>
                <c:pt idx="43">
                  <c:v>RIZWAN SHEIKH</c:v>
                </c:pt>
                <c:pt idx="44">
                  <c:v>ZAID ALI SAIYED</c:v>
                </c:pt>
                <c:pt idx="45">
                  <c:v>DARSHAN KUSHWAH</c:v>
                </c:pt>
                <c:pt idx="46">
                  <c:v>YASHAD SATHE</c:v>
                </c:pt>
                <c:pt idx="47">
                  <c:v>YASH PATHAK</c:v>
                </c:pt>
                <c:pt idx="48">
                  <c:v>VEDANSH JOSHI</c:v>
                </c:pt>
                <c:pt idx="49">
                  <c:v>SUDHANSHU KUSHWAH</c:v>
                </c:pt>
                <c:pt idx="50">
                  <c:v>LALU KUSHWAH</c:v>
                </c:pt>
                <c:pt idx="51">
                  <c:v>JAY</c:v>
                </c:pt>
                <c:pt idx="52">
                  <c:v>TARANJEET</c:v>
                </c:pt>
                <c:pt idx="53">
                  <c:v>KARTIK GUPTA</c:v>
                </c:pt>
                <c:pt idx="54">
                  <c:v>JATIN MAGRIYA</c:v>
                </c:pt>
                <c:pt idx="55">
                  <c:v>ARUN KHODE</c:v>
                </c:pt>
                <c:pt idx="56">
                  <c:v>ABIR SAXENA</c:v>
                </c:pt>
                <c:pt idx="57">
                  <c:v>ROHIT BHARGAV</c:v>
                </c:pt>
                <c:pt idx="58">
                  <c:v>TARUN RATHOR</c:v>
                </c:pt>
                <c:pt idx="59">
                  <c:v>ANTIM JAMLE</c:v>
                </c:pt>
                <c:pt idx="60">
                  <c:v>DIVYASH JAIN</c:v>
                </c:pt>
                <c:pt idx="61">
                  <c:v>KUSHAGRA MALYA</c:v>
                </c:pt>
              </c:strCache>
            </c:strRef>
          </c:cat>
          <c:val>
            <c:numRef>
              <c:f>Sheet1!$H$4:$H$65</c:f>
              <c:numCache>
                <c:formatCode>General</c:formatCode>
                <c:ptCount val="62"/>
                <c:pt idx="0">
                  <c:v>8.07</c:v>
                </c:pt>
                <c:pt idx="1">
                  <c:v>8.02</c:v>
                </c:pt>
                <c:pt idx="2">
                  <c:v>8.01</c:v>
                </c:pt>
                <c:pt idx="3">
                  <c:v>7.91</c:v>
                </c:pt>
                <c:pt idx="4">
                  <c:v>7.9</c:v>
                </c:pt>
                <c:pt idx="5">
                  <c:v>7.76</c:v>
                </c:pt>
                <c:pt idx="6">
                  <c:v>7.5</c:v>
                </c:pt>
                <c:pt idx="7">
                  <c:v>7.5</c:v>
                </c:pt>
                <c:pt idx="8">
                  <c:v>7.44</c:v>
                </c:pt>
                <c:pt idx="9">
                  <c:v>7.43</c:v>
                </c:pt>
                <c:pt idx="10">
                  <c:v>7.42</c:v>
                </c:pt>
                <c:pt idx="11">
                  <c:v>7.33</c:v>
                </c:pt>
                <c:pt idx="12">
                  <c:v>7.27</c:v>
                </c:pt>
                <c:pt idx="13">
                  <c:v>7.27</c:v>
                </c:pt>
                <c:pt idx="14">
                  <c:v>7.26</c:v>
                </c:pt>
                <c:pt idx="15">
                  <c:v>7.24</c:v>
                </c:pt>
                <c:pt idx="16">
                  <c:v>7.24</c:v>
                </c:pt>
                <c:pt idx="17">
                  <c:v>7.12</c:v>
                </c:pt>
                <c:pt idx="18">
                  <c:v>7.09</c:v>
                </c:pt>
                <c:pt idx="19">
                  <c:v>7.09</c:v>
                </c:pt>
                <c:pt idx="20">
                  <c:v>7.05</c:v>
                </c:pt>
                <c:pt idx="21">
                  <c:v>7.01</c:v>
                </c:pt>
                <c:pt idx="22">
                  <c:v>6.85</c:v>
                </c:pt>
                <c:pt idx="23">
                  <c:v>6.82</c:v>
                </c:pt>
                <c:pt idx="24">
                  <c:v>6.82</c:v>
                </c:pt>
                <c:pt idx="25">
                  <c:v>6.81</c:v>
                </c:pt>
                <c:pt idx="26">
                  <c:v>6.81</c:v>
                </c:pt>
                <c:pt idx="27">
                  <c:v>6.8</c:v>
                </c:pt>
                <c:pt idx="28">
                  <c:v>6.72</c:v>
                </c:pt>
                <c:pt idx="29">
                  <c:v>6.72</c:v>
                </c:pt>
                <c:pt idx="30">
                  <c:v>6.71</c:v>
                </c:pt>
                <c:pt idx="31">
                  <c:v>6.7</c:v>
                </c:pt>
                <c:pt idx="32">
                  <c:v>6.62</c:v>
                </c:pt>
                <c:pt idx="33">
                  <c:v>6.57</c:v>
                </c:pt>
                <c:pt idx="34">
                  <c:v>6.51</c:v>
                </c:pt>
                <c:pt idx="35">
                  <c:v>6.49</c:v>
                </c:pt>
                <c:pt idx="36">
                  <c:v>6.39</c:v>
                </c:pt>
                <c:pt idx="37">
                  <c:v>6.38</c:v>
                </c:pt>
                <c:pt idx="38">
                  <c:v>6.18</c:v>
                </c:pt>
                <c:pt idx="39">
                  <c:v>6.17</c:v>
                </c:pt>
                <c:pt idx="40">
                  <c:v>6.17</c:v>
                </c:pt>
                <c:pt idx="41">
                  <c:v>6.11</c:v>
                </c:pt>
                <c:pt idx="42">
                  <c:v>6.04</c:v>
                </c:pt>
                <c:pt idx="43">
                  <c:v>6.02</c:v>
                </c:pt>
                <c:pt idx="44">
                  <c:v>6.01</c:v>
                </c:pt>
                <c:pt idx="45">
                  <c:v>5.89</c:v>
                </c:pt>
                <c:pt idx="46">
                  <c:v>5.88</c:v>
                </c:pt>
                <c:pt idx="47">
                  <c:v>5.8</c:v>
                </c:pt>
                <c:pt idx="48">
                  <c:v>5.78</c:v>
                </c:pt>
                <c:pt idx="49">
                  <c:v>5.75</c:v>
                </c:pt>
                <c:pt idx="50">
                  <c:v>5.74</c:v>
                </c:pt>
                <c:pt idx="51">
                  <c:v>5.71</c:v>
                </c:pt>
                <c:pt idx="52">
                  <c:v>5.71</c:v>
                </c:pt>
                <c:pt idx="53">
                  <c:v>5.58</c:v>
                </c:pt>
                <c:pt idx="54">
                  <c:v>5.54</c:v>
                </c:pt>
                <c:pt idx="55">
                  <c:v>5.52</c:v>
                </c:pt>
                <c:pt idx="56">
                  <c:v>5.5</c:v>
                </c:pt>
                <c:pt idx="57">
                  <c:v>5.4</c:v>
                </c:pt>
                <c:pt idx="58">
                  <c:v>5.3</c:v>
                </c:pt>
                <c:pt idx="59">
                  <c:v>5.29</c:v>
                </c:pt>
                <c:pt idx="60">
                  <c:v>4.66</c:v>
                </c:pt>
                <c:pt idx="61">
                  <c:v>3.57</c:v>
                </c:pt>
              </c:numCache>
            </c:numRef>
          </c:val>
          <c:smooth val="0"/>
          <c:extLst>
            <c:ext xmlns:c16="http://schemas.microsoft.com/office/drawing/2014/chart" uri="{C3380CC4-5D6E-409C-BE32-E72D297353CC}">
              <c16:uniqueId val="{00000000-B759-4679-9603-EE4A9F4BA21D}"/>
            </c:ext>
          </c:extLst>
        </c:ser>
        <c:dLbls>
          <c:showLegendKey val="0"/>
          <c:showVal val="0"/>
          <c:showCatName val="0"/>
          <c:showSerName val="0"/>
          <c:showPercent val="0"/>
          <c:showBubbleSize val="0"/>
        </c:dLbls>
        <c:marker val="1"/>
        <c:smooth val="0"/>
        <c:axId val="197172608"/>
        <c:axId val="197182592"/>
      </c:lineChart>
      <c:catAx>
        <c:axId val="197172608"/>
        <c:scaling>
          <c:orientation val="minMax"/>
        </c:scaling>
        <c:delete val="0"/>
        <c:axPos val="b"/>
        <c:numFmt formatCode="General" sourceLinked="0"/>
        <c:majorTickMark val="out"/>
        <c:minorTickMark val="none"/>
        <c:tickLblPos val="nextTo"/>
        <c:crossAx val="197182592"/>
        <c:crosses val="autoZero"/>
        <c:auto val="1"/>
        <c:lblAlgn val="ctr"/>
        <c:lblOffset val="100"/>
        <c:noMultiLvlLbl val="0"/>
      </c:catAx>
      <c:valAx>
        <c:axId val="197182592"/>
        <c:scaling>
          <c:orientation val="minMax"/>
        </c:scaling>
        <c:delete val="0"/>
        <c:axPos val="l"/>
        <c:numFmt formatCode="General" sourceLinked="1"/>
        <c:majorTickMark val="out"/>
        <c:minorTickMark val="none"/>
        <c:tickLblPos val="nextTo"/>
        <c:crossAx val="197172608"/>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b="1">
                <a:solidFill>
                  <a:schemeClr val="lt1"/>
                </a:solidFill>
                <a:latin typeface="+mn-lt"/>
                <a:ea typeface="+mn-ea"/>
                <a:cs typeface="+mn-cs"/>
              </a:rPr>
              <a:t>Bottom</a:t>
            </a:r>
            <a:r>
              <a:rPr lang="en-IN" b="1" baseline="0">
                <a:solidFill>
                  <a:schemeClr val="lt1"/>
                </a:solidFill>
                <a:latin typeface="+mn-lt"/>
                <a:ea typeface="+mn-ea"/>
                <a:cs typeface="+mn-cs"/>
              </a:rPr>
              <a:t> 10 Students</a:t>
            </a:r>
            <a:endParaRPr lang="en-IN" b="1"/>
          </a:p>
        </c:rich>
      </c:tx>
      <c:overlay val="0"/>
      <c:spPr>
        <a:solidFill>
          <a:schemeClr val="accent2"/>
        </a:solidFill>
        <a:ln w="25400" cap="flat" cmpd="sng" algn="ctr">
          <a:solidFill>
            <a:schemeClr val="tx1"/>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Sheet1!$K$62:$K$71</c:f>
              <c:strCache>
                <c:ptCount val="10"/>
                <c:pt idx="0">
                  <c:v>LALU KUSHWAH</c:v>
                </c:pt>
                <c:pt idx="1">
                  <c:v>ABIR SAXENA</c:v>
                </c:pt>
                <c:pt idx="2">
                  <c:v>RIZWAN SHEIKH</c:v>
                </c:pt>
                <c:pt idx="3">
                  <c:v>ANTIM JAMLE</c:v>
                </c:pt>
                <c:pt idx="4">
                  <c:v>TARUN RATHOR</c:v>
                </c:pt>
                <c:pt idx="5">
                  <c:v>ARUN KHODE</c:v>
                </c:pt>
                <c:pt idx="6">
                  <c:v>KARTIK GUPTA</c:v>
                </c:pt>
                <c:pt idx="7">
                  <c:v>JAY</c:v>
                </c:pt>
                <c:pt idx="8">
                  <c:v>DIVYASH JAIN</c:v>
                </c:pt>
                <c:pt idx="9">
                  <c:v>KUSHAGRA MALYA</c:v>
                </c:pt>
              </c:strCache>
            </c:strRef>
          </c:cat>
          <c:val>
            <c:numRef>
              <c:f>Sheet1!$L$62:$L$71</c:f>
              <c:numCache>
                <c:formatCode>General</c:formatCode>
                <c:ptCount val="10"/>
                <c:pt idx="0">
                  <c:v>5.42</c:v>
                </c:pt>
                <c:pt idx="1">
                  <c:v>5.38</c:v>
                </c:pt>
                <c:pt idx="2">
                  <c:v>5.33</c:v>
                </c:pt>
                <c:pt idx="3">
                  <c:v>5.33</c:v>
                </c:pt>
                <c:pt idx="4">
                  <c:v>5.33</c:v>
                </c:pt>
                <c:pt idx="5">
                  <c:v>5.21</c:v>
                </c:pt>
                <c:pt idx="6">
                  <c:v>5.04</c:v>
                </c:pt>
                <c:pt idx="7">
                  <c:v>4.92</c:v>
                </c:pt>
                <c:pt idx="8">
                  <c:v>3.54</c:v>
                </c:pt>
                <c:pt idx="9">
                  <c:v>3.08</c:v>
                </c:pt>
              </c:numCache>
            </c:numRef>
          </c:val>
          <c:extLst>
            <c:ext xmlns:c16="http://schemas.microsoft.com/office/drawing/2014/chart" uri="{C3380CC4-5D6E-409C-BE32-E72D297353CC}">
              <c16:uniqueId val="{00000000-4B9E-449B-98E9-ADCFB148D40F}"/>
            </c:ext>
          </c:extLst>
        </c:ser>
        <c:dLbls>
          <c:showLegendKey val="0"/>
          <c:showVal val="0"/>
          <c:showCatName val="0"/>
          <c:showSerName val="0"/>
          <c:showPercent val="0"/>
          <c:showBubbleSize val="0"/>
        </c:dLbls>
        <c:gapWidth val="182"/>
        <c:axId val="562405792"/>
        <c:axId val="562409632"/>
      </c:barChart>
      <c:catAx>
        <c:axId val="5624057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9632"/>
        <c:crosses val="autoZero"/>
        <c:auto val="1"/>
        <c:lblAlgn val="ctr"/>
        <c:lblOffset val="100"/>
        <c:noMultiLvlLbl val="0"/>
      </c:catAx>
      <c:valAx>
        <c:axId val="562409632"/>
        <c:scaling>
          <c:orientation val="minMax"/>
        </c:scaling>
        <c:delete val="1"/>
        <c:axPos val="t"/>
        <c:numFmt formatCode="General" sourceLinked="1"/>
        <c:majorTickMark val="none"/>
        <c:minorTickMark val="none"/>
        <c:tickLblPos val="nextTo"/>
        <c:crossAx val="562405792"/>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solidFill>
                  <a:schemeClr val="lt1"/>
                </a:solidFill>
                <a:latin typeface="+mn-lt"/>
                <a:ea typeface="+mn-ea"/>
                <a:cs typeface="+mn-cs"/>
              </a:rPr>
              <a:t>Top</a:t>
            </a:r>
            <a:r>
              <a:rPr lang="en-US" b="1" baseline="0">
                <a:solidFill>
                  <a:schemeClr val="lt1"/>
                </a:solidFill>
                <a:latin typeface="+mn-lt"/>
                <a:ea typeface="+mn-ea"/>
                <a:cs typeface="+mn-cs"/>
              </a:rPr>
              <a:t> 10 Students</a:t>
            </a:r>
            <a:endParaRPr lang="en-US" b="1">
              <a:solidFill>
                <a:sysClr val="windowText" lastClr="000000"/>
              </a:solidFill>
            </a:endParaRPr>
          </a:p>
        </c:rich>
      </c:tx>
      <c:overlay val="0"/>
      <c:spPr>
        <a:solidFill>
          <a:schemeClr val="accent3"/>
        </a:solidFill>
        <a:ln w="25400" cap="flat" cmpd="sng" algn="ctr">
          <a:solidFill>
            <a:schemeClr val="accent3">
              <a:shade val="15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lotArea>
      <c:layout/>
      <c:barChart>
        <c:barDir val="bar"/>
        <c:grouping val="clustered"/>
        <c:varyColors val="0"/>
        <c:ser>
          <c:idx val="0"/>
          <c:order val="0"/>
          <c:tx>
            <c:strRef>
              <c:f>Sheet1!$L$33</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Sheet1!$K$34:$K$43</c:f>
              <c:strCache>
                <c:ptCount val="10"/>
                <c:pt idx="0">
                  <c:v>PRATIMA KAG</c:v>
                </c:pt>
                <c:pt idx="1">
                  <c:v>KRATIKA VERMA</c:v>
                </c:pt>
                <c:pt idx="2">
                  <c:v>SHAILY RATHORE</c:v>
                </c:pt>
                <c:pt idx="3">
                  <c:v>PRACHI PANWAR</c:v>
                </c:pt>
                <c:pt idx="4">
                  <c:v>SADHANA BIRLA</c:v>
                </c:pt>
                <c:pt idx="5">
                  <c:v>MANSEE SAWALE</c:v>
                </c:pt>
                <c:pt idx="6">
                  <c:v>SAKSHI SONI</c:v>
                </c:pt>
                <c:pt idx="7">
                  <c:v>KHUSHI JETHWA</c:v>
                </c:pt>
                <c:pt idx="8">
                  <c:v>MANSHVEE CHOUHAN</c:v>
                </c:pt>
                <c:pt idx="9">
                  <c:v>SAVITA YADAV</c:v>
                </c:pt>
              </c:strCache>
            </c:strRef>
          </c:cat>
          <c:val>
            <c:numRef>
              <c:f>Sheet1!$L$34:$L$43</c:f>
              <c:numCache>
                <c:formatCode>General</c:formatCode>
                <c:ptCount val="10"/>
                <c:pt idx="0">
                  <c:v>8.25</c:v>
                </c:pt>
                <c:pt idx="1">
                  <c:v>8.0399999999999991</c:v>
                </c:pt>
                <c:pt idx="2">
                  <c:v>8.0399999999999991</c:v>
                </c:pt>
                <c:pt idx="3">
                  <c:v>8</c:v>
                </c:pt>
                <c:pt idx="4">
                  <c:v>7.96</c:v>
                </c:pt>
                <c:pt idx="5">
                  <c:v>7.92</c:v>
                </c:pt>
                <c:pt idx="6">
                  <c:v>7.79</c:v>
                </c:pt>
                <c:pt idx="7">
                  <c:v>7.79</c:v>
                </c:pt>
                <c:pt idx="8">
                  <c:v>7.75</c:v>
                </c:pt>
                <c:pt idx="9">
                  <c:v>7.67</c:v>
                </c:pt>
              </c:numCache>
            </c:numRef>
          </c:val>
          <c:extLst>
            <c:ext xmlns:c16="http://schemas.microsoft.com/office/drawing/2014/chart" uri="{C3380CC4-5D6E-409C-BE32-E72D297353CC}">
              <c16:uniqueId val="{00000000-1A0D-4F45-AF09-377EC2D41F1F}"/>
            </c:ext>
          </c:extLst>
        </c:ser>
        <c:dLbls>
          <c:showLegendKey val="0"/>
          <c:showVal val="0"/>
          <c:showCatName val="0"/>
          <c:showSerName val="0"/>
          <c:showPercent val="0"/>
          <c:showBubbleSize val="0"/>
        </c:dLbls>
        <c:gapWidth val="182"/>
        <c:axId val="518803616"/>
        <c:axId val="518327712"/>
      </c:barChart>
      <c:catAx>
        <c:axId val="5188036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327712"/>
        <c:crosses val="autoZero"/>
        <c:auto val="1"/>
        <c:lblAlgn val="ctr"/>
        <c:lblOffset val="100"/>
        <c:noMultiLvlLbl val="0"/>
      </c:catAx>
      <c:valAx>
        <c:axId val="518327712"/>
        <c:scaling>
          <c:orientation val="minMax"/>
        </c:scaling>
        <c:delete val="1"/>
        <c:axPos val="t"/>
        <c:numFmt formatCode="General" sourceLinked="1"/>
        <c:majorTickMark val="none"/>
        <c:minorTickMark val="none"/>
        <c:tickLblPos val="nextTo"/>
        <c:crossAx val="518803616"/>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31377</xdr:colOff>
      <xdr:row>2</xdr:row>
      <xdr:rowOff>115421</xdr:rowOff>
    </xdr:from>
    <xdr:to>
      <xdr:col>10</xdr:col>
      <xdr:colOff>1032623</xdr:colOff>
      <xdr:row>15</xdr:row>
      <xdr:rowOff>163046</xdr:rowOff>
    </xdr:to>
    <mc:AlternateContent xmlns:mc="http://schemas.openxmlformats.org/markup-compatibility/2006">
      <mc:Choice xmlns:a14="http://schemas.microsoft.com/office/drawing/2010/main" Requires="a14">
        <xdr:graphicFrame macro="">
          <xdr:nvGraphicFramePr>
            <xdr:cNvPr id="2" name="Name">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10797989" y="474009"/>
              <a:ext cx="1888752" cy="2378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581025</xdr:colOff>
      <xdr:row>65</xdr:row>
      <xdr:rowOff>171450</xdr:rowOff>
    </xdr:from>
    <xdr:to>
      <xdr:col>9</xdr:col>
      <xdr:colOff>828675</xdr:colOff>
      <xdr:row>80</xdr:row>
      <xdr:rowOff>57150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81</xdr:row>
      <xdr:rowOff>95250</xdr:rowOff>
    </xdr:from>
    <xdr:to>
      <xdr:col>10</xdr:col>
      <xdr:colOff>0</xdr:colOff>
      <xdr:row>95</xdr:row>
      <xdr:rowOff>171450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76200</xdr:colOff>
      <xdr:row>16</xdr:row>
      <xdr:rowOff>56591</xdr:rowOff>
    </xdr:from>
    <xdr:to>
      <xdr:col>13</xdr:col>
      <xdr:colOff>544605</xdr:colOff>
      <xdr:row>30</xdr:row>
      <xdr:rowOff>132791</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407893</xdr:colOff>
      <xdr:row>43</xdr:row>
      <xdr:rowOff>71718</xdr:rowOff>
    </xdr:from>
    <xdr:to>
      <xdr:col>13</xdr:col>
      <xdr:colOff>372034</xdr:colOff>
      <xdr:row>58</xdr:row>
      <xdr:rowOff>125506</xdr:rowOff>
    </xdr:to>
    <xdr:graphicFrame macro="">
      <xdr:nvGraphicFramePr>
        <xdr:cNvPr id="6" name="Chart 5">
          <a:extLst>
            <a:ext uri="{FF2B5EF4-FFF2-40B4-BE49-F238E27FC236}">
              <a16:creationId xmlns:a16="http://schemas.microsoft.com/office/drawing/2014/main" id="{A891622A-7A69-724D-BD51-4914ADFC3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874059</xdr:colOff>
      <xdr:row>71</xdr:row>
      <xdr:rowOff>116542</xdr:rowOff>
    </xdr:from>
    <xdr:to>
      <xdr:col>13</xdr:col>
      <xdr:colOff>838200</xdr:colOff>
      <xdr:row>86</xdr:row>
      <xdr:rowOff>170330</xdr:rowOff>
    </xdr:to>
    <xdr:graphicFrame macro="">
      <xdr:nvGraphicFramePr>
        <xdr:cNvPr id="9" name="Chart 8">
          <a:extLst>
            <a:ext uri="{FF2B5EF4-FFF2-40B4-BE49-F238E27FC236}">
              <a16:creationId xmlns:a16="http://schemas.microsoft.com/office/drawing/2014/main" id="{E9B218C3-05B4-58F2-A96D-9D5032FDD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47625</xdr:colOff>
      <xdr:row>0</xdr:row>
      <xdr:rowOff>0</xdr:rowOff>
    </xdr:from>
    <xdr:to>
      <xdr:col>20</xdr:col>
      <xdr:colOff>561975</xdr:colOff>
      <xdr:row>5</xdr:row>
      <xdr:rowOff>47625</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2486025" y="0"/>
          <a:ext cx="10267950" cy="1000125"/>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t>🏛 College</a:t>
          </a:r>
          <a:r>
            <a:rPr lang="en-US" sz="1800" b="1" baseline="0"/>
            <a:t> Exam Result Dashboard</a:t>
          </a:r>
          <a:endParaRPr lang="en-US" sz="1800" b="1"/>
        </a:p>
      </xdr:txBody>
    </xdr:sp>
    <xdr:clientData/>
  </xdr:twoCellAnchor>
  <xdr:twoCellAnchor>
    <xdr:from>
      <xdr:col>0</xdr:col>
      <xdr:colOff>66675</xdr:colOff>
      <xdr:row>0</xdr:row>
      <xdr:rowOff>47625</xdr:rowOff>
    </xdr:from>
    <xdr:to>
      <xdr:col>4</xdr:col>
      <xdr:colOff>19050</xdr:colOff>
      <xdr:row>33</xdr:row>
      <xdr:rowOff>28575</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66675" y="47625"/>
          <a:ext cx="2390775" cy="6267450"/>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381000</xdr:colOff>
      <xdr:row>2</xdr:row>
      <xdr:rowOff>133351</xdr:rowOff>
    </xdr:from>
    <xdr:to>
      <xdr:col>3</xdr:col>
      <xdr:colOff>371475</xdr:colOff>
      <xdr:row>4</xdr:row>
      <xdr:rowOff>19051</xdr:rowOff>
    </xdr:to>
    <xdr:sp macro="" textlink="Sheet1!E132">
      <xdr:nvSpPr>
        <xdr:cNvPr id="4" name="TextBox 3">
          <a:extLst>
            <a:ext uri="{FF2B5EF4-FFF2-40B4-BE49-F238E27FC236}">
              <a16:creationId xmlns:a16="http://schemas.microsoft.com/office/drawing/2014/main" id="{00000000-0008-0000-0300-000004000000}"/>
            </a:ext>
          </a:extLst>
        </xdr:cNvPr>
        <xdr:cNvSpPr txBox="1"/>
      </xdr:nvSpPr>
      <xdr:spPr>
        <a:xfrm>
          <a:off x="381000" y="514351"/>
          <a:ext cx="1819275"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1D6398-60FC-46FB-8D52-317EAD655654}" type="TxLink">
            <a:rPr lang="en-US" sz="1100"/>
            <a:pPr algn="ctr"/>
            <a:t>62</a:t>
          </a:fld>
          <a:endParaRPr lang="en-US" sz="1100" baseline="0"/>
        </a:p>
      </xdr:txBody>
    </xdr:sp>
    <xdr:clientData/>
  </xdr:twoCellAnchor>
  <xdr:twoCellAnchor>
    <xdr:from>
      <xdr:col>0</xdr:col>
      <xdr:colOff>371475</xdr:colOff>
      <xdr:row>1</xdr:row>
      <xdr:rowOff>9525</xdr:rowOff>
    </xdr:from>
    <xdr:to>
      <xdr:col>3</xdr:col>
      <xdr:colOff>381000</xdr:colOff>
      <xdr:row>2</xdr:row>
      <xdr:rowOff>76200</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371475" y="200025"/>
          <a:ext cx="183832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Students</a:t>
          </a:r>
        </a:p>
      </xdr:txBody>
    </xdr:sp>
    <xdr:clientData/>
  </xdr:twoCellAnchor>
  <xdr:twoCellAnchor editAs="oneCell">
    <xdr:from>
      <xdr:col>0</xdr:col>
      <xdr:colOff>381000</xdr:colOff>
      <xdr:row>5</xdr:row>
      <xdr:rowOff>9525</xdr:rowOff>
    </xdr:from>
    <xdr:to>
      <xdr:col>3</xdr:col>
      <xdr:colOff>381000</xdr:colOff>
      <xdr:row>31</xdr:row>
      <xdr:rowOff>180975</xdr:rowOff>
    </xdr:to>
    <mc:AlternateContent xmlns:mc="http://schemas.openxmlformats.org/markup-compatibility/2006" xmlns:a14="http://schemas.microsoft.com/office/drawing/2010/main">
      <mc:Choice Requires="a14">
        <xdr:graphicFrame macro="">
          <xdr:nvGraphicFramePr>
            <xdr:cNvPr id="7" name="Name 1">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381000" y="962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12178</xdr:colOff>
      <xdr:row>5</xdr:row>
      <xdr:rowOff>76441</xdr:rowOff>
    </xdr:from>
    <xdr:to>
      <xdr:col>12</xdr:col>
      <xdr:colOff>362674</xdr:colOff>
      <xdr:row>19</xdr:row>
      <xdr:rowOff>143116</xdr:rowOff>
    </xdr:to>
    <xdr:sp macro="" textlink="">
      <xdr:nvSpPr>
        <xdr:cNvPr id="6" name="Rounded Rectangle 5">
          <a:extLst>
            <a:ext uri="{FF2B5EF4-FFF2-40B4-BE49-F238E27FC236}">
              <a16:creationId xmlns:a16="http://schemas.microsoft.com/office/drawing/2014/main" id="{00000000-0008-0000-0300-000006000000}"/>
            </a:ext>
          </a:extLst>
        </xdr:cNvPr>
        <xdr:cNvSpPr/>
      </xdr:nvSpPr>
      <xdr:spPr>
        <a:xfrm>
          <a:off x="2442862" y="992770"/>
          <a:ext cx="5211863" cy="263239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275382</xdr:colOff>
      <xdr:row>5</xdr:row>
      <xdr:rowOff>55704</xdr:rowOff>
    </xdr:from>
    <xdr:to>
      <xdr:col>20</xdr:col>
      <xdr:colOff>549677</xdr:colOff>
      <xdr:row>20</xdr:row>
      <xdr:rowOff>65229</xdr:rowOff>
    </xdr:to>
    <xdr:sp macro="" textlink="">
      <xdr:nvSpPr>
        <xdr:cNvPr id="8" name="Rounded Rectangle 7">
          <a:extLst>
            <a:ext uri="{FF2B5EF4-FFF2-40B4-BE49-F238E27FC236}">
              <a16:creationId xmlns:a16="http://schemas.microsoft.com/office/drawing/2014/main" id="{00000000-0008-0000-0300-000008000000}"/>
            </a:ext>
          </a:extLst>
        </xdr:cNvPr>
        <xdr:cNvSpPr/>
      </xdr:nvSpPr>
      <xdr:spPr>
        <a:xfrm>
          <a:off x="7567433" y="972033"/>
          <a:ext cx="5135662" cy="275851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171450</xdr:colOff>
      <xdr:row>7</xdr:row>
      <xdr:rowOff>0</xdr:rowOff>
    </xdr:from>
    <xdr:to>
      <xdr:col>12</xdr:col>
      <xdr:colOff>152400</xdr:colOff>
      <xdr:row>17</xdr:row>
      <xdr:rowOff>123825</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6</xdr:row>
      <xdr:rowOff>104775</xdr:rowOff>
    </xdr:from>
    <xdr:to>
      <xdr:col>20</xdr:col>
      <xdr:colOff>228600</xdr:colOff>
      <xdr:row>18</xdr:row>
      <xdr:rowOff>19050</xdr:rowOff>
    </xdr:to>
    <xdr:graphicFrame macro="">
      <xdr:nvGraphicFramePr>
        <xdr:cNvPr id="10" name="Chart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606947</xdr:colOff>
      <xdr:row>19</xdr:row>
      <xdr:rowOff>152520</xdr:rowOff>
    </xdr:from>
    <xdr:to>
      <xdr:col>21</xdr:col>
      <xdr:colOff>18326</xdr:colOff>
      <xdr:row>34</xdr:row>
      <xdr:rowOff>123945</xdr:rowOff>
    </xdr:to>
    <xdr:sp macro="" textlink="">
      <xdr:nvSpPr>
        <xdr:cNvPr id="11" name="Rounded Rectangle 10">
          <a:extLst>
            <a:ext uri="{FF2B5EF4-FFF2-40B4-BE49-F238E27FC236}">
              <a16:creationId xmlns:a16="http://schemas.microsoft.com/office/drawing/2014/main" id="{00000000-0008-0000-0300-00000B000000}"/>
            </a:ext>
          </a:extLst>
        </xdr:cNvPr>
        <xdr:cNvSpPr/>
      </xdr:nvSpPr>
      <xdr:spPr>
        <a:xfrm>
          <a:off x="2429960" y="3634571"/>
          <a:ext cx="10349455" cy="272041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304800</xdr:colOff>
      <xdr:row>20</xdr:row>
      <xdr:rowOff>0</xdr:rowOff>
    </xdr:from>
    <xdr:to>
      <xdr:col>19</xdr:col>
      <xdr:colOff>504825</xdr:colOff>
      <xdr:row>31</xdr:row>
      <xdr:rowOff>180975</xdr:rowOff>
    </xdr:to>
    <xdr:graphicFrame macro="">
      <xdr:nvGraphicFramePr>
        <xdr:cNvPr id="12" name="Chart 11">
          <a:extLst>
            <a:ext uri="{FF2B5EF4-FFF2-40B4-BE49-F238E27FC236}">
              <a16:creationId xmlns:a16="http://schemas.microsoft.com/office/drawing/2014/main" id="{00000000-0008-0000-0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598025</xdr:colOff>
      <xdr:row>0</xdr:row>
      <xdr:rowOff>57873</xdr:rowOff>
    </xdr:from>
    <xdr:to>
      <xdr:col>29</xdr:col>
      <xdr:colOff>241139</xdr:colOff>
      <xdr:row>16</xdr:row>
      <xdr:rowOff>154330</xdr:rowOff>
    </xdr:to>
    <xdr:sp macro="" textlink="">
      <xdr:nvSpPr>
        <xdr:cNvPr id="13" name="Rectangle: Rounded Corners 12">
          <a:extLst>
            <a:ext uri="{FF2B5EF4-FFF2-40B4-BE49-F238E27FC236}">
              <a16:creationId xmlns:a16="http://schemas.microsoft.com/office/drawing/2014/main" id="{326CAA9D-A02F-0F7A-31BF-52C592A15C6E}"/>
            </a:ext>
          </a:extLst>
        </xdr:cNvPr>
        <xdr:cNvSpPr/>
      </xdr:nvSpPr>
      <xdr:spPr>
        <a:xfrm>
          <a:off x="12751443" y="57873"/>
          <a:ext cx="5112152" cy="30287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231494</xdr:colOff>
      <xdr:row>0</xdr:row>
      <xdr:rowOff>86810</xdr:rowOff>
    </xdr:from>
    <xdr:to>
      <xdr:col>20</xdr:col>
      <xdr:colOff>337595</xdr:colOff>
      <xdr:row>4</xdr:row>
      <xdr:rowOff>144684</xdr:rowOff>
    </xdr:to>
    <xdr:pic>
      <xdr:nvPicPr>
        <xdr:cNvPr id="15" name="Picture 14">
          <a:extLst>
            <a:ext uri="{FF2B5EF4-FFF2-40B4-BE49-F238E27FC236}">
              <a16:creationId xmlns:a16="http://schemas.microsoft.com/office/drawing/2014/main" id="{BCD78503-8E47-798F-09D6-DD6D32515E3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08203" y="86810"/>
          <a:ext cx="6182810" cy="790937"/>
        </a:xfrm>
        <a:prstGeom prst="rect">
          <a:avLst/>
        </a:prstGeom>
        <a:ln w="88900" cap="sq" cmpd="thickThin">
          <a:solidFill>
            <a:srgbClr val="000000"/>
          </a:solidFill>
          <a:prstDash val="solid"/>
          <a:miter lim="800000"/>
        </a:ln>
        <a:effectLst>
          <a:innerShdw blurRad="76200">
            <a:srgbClr val="000000"/>
          </a:innerShdw>
        </a:effectLst>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57874</xdr:colOff>
      <xdr:row>17</xdr:row>
      <xdr:rowOff>28937</xdr:rowOff>
    </xdr:from>
    <xdr:to>
      <xdr:col>29</xdr:col>
      <xdr:colOff>231494</xdr:colOff>
      <xdr:row>34</xdr:row>
      <xdr:rowOff>163975</xdr:rowOff>
    </xdr:to>
    <xdr:sp macro="" textlink="">
      <xdr:nvSpPr>
        <xdr:cNvPr id="16" name="Rectangle: Rounded Corners 15">
          <a:extLst>
            <a:ext uri="{FF2B5EF4-FFF2-40B4-BE49-F238E27FC236}">
              <a16:creationId xmlns:a16="http://schemas.microsoft.com/office/drawing/2014/main" id="{1081C7FC-DB65-CB32-9F26-4DB94EB61C71}"/>
            </a:ext>
          </a:extLst>
        </xdr:cNvPr>
        <xdr:cNvSpPr/>
      </xdr:nvSpPr>
      <xdr:spPr>
        <a:xfrm>
          <a:off x="12818963" y="3144456"/>
          <a:ext cx="5034987" cy="32505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327950</xdr:colOff>
      <xdr:row>18</xdr:row>
      <xdr:rowOff>77165</xdr:rowOff>
    </xdr:from>
    <xdr:to>
      <xdr:col>29</xdr:col>
      <xdr:colOff>38583</xdr:colOff>
      <xdr:row>33</xdr:row>
      <xdr:rowOff>71378</xdr:rowOff>
    </xdr:to>
    <xdr:graphicFrame macro="">
      <xdr:nvGraphicFramePr>
        <xdr:cNvPr id="18" name="Chart 17">
          <a:extLst>
            <a:ext uri="{FF2B5EF4-FFF2-40B4-BE49-F238E27FC236}">
              <a16:creationId xmlns:a16="http://schemas.microsoft.com/office/drawing/2014/main" id="{DFC72305-E7C4-4271-9EA3-315765D04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337595</xdr:colOff>
      <xdr:row>1</xdr:row>
      <xdr:rowOff>28935</xdr:rowOff>
    </xdr:from>
    <xdr:to>
      <xdr:col>29</xdr:col>
      <xdr:colOff>48228</xdr:colOff>
      <xdr:row>16</xdr:row>
      <xdr:rowOff>23148</xdr:rowOff>
    </xdr:to>
    <xdr:graphicFrame macro="">
      <xdr:nvGraphicFramePr>
        <xdr:cNvPr id="20" name="Chart 19">
          <a:extLst>
            <a:ext uri="{FF2B5EF4-FFF2-40B4-BE49-F238E27FC236}">
              <a16:creationId xmlns:a16="http://schemas.microsoft.com/office/drawing/2014/main" id="{6AE758C8-B2B0-46DD-A807-00F77BF8C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s pc" refreshedDate="46000.816497453707" createdVersion="4" refreshedVersion="4" minRefreshableVersion="3" recordCount="62" xr:uid="{00000000-000A-0000-FFFF-FFFF00000000}">
  <cacheSource type="worksheet">
    <worksheetSource name="Table1"/>
  </cacheSource>
  <cacheFields count="17">
    <cacheField name="Column1" numFmtId="0">
      <sharedItems containsSemiMixedTypes="0" containsString="0" containsNumber="1" containsInteger="1" minValue="0" maxValue="77"/>
    </cacheField>
    <cacheField name="Name" numFmtId="0">
      <sharedItems count="62">
        <s v="AAKASH PIPALDE"/>
        <s v="AAYUSH PATEL"/>
        <s v="ABIR SAXENA"/>
        <s v="AMEY BHOKARIKAR"/>
        <s v="ANTIM JAMLE"/>
        <s v="ARUN KHODE"/>
        <s v="ARYAN RATHOD"/>
        <s v="BHUMI GUPTA"/>
        <s v="BHUPENDRA VERMA"/>
        <s v="CHINMAY JOSHI"/>
        <s v="DARSHAN KUSHWAH"/>
        <s v="DEVASHISH GUPTA"/>
        <s v="DIVY CHATURVEDI"/>
        <s v="DIVYANI PAGARE"/>
        <s v="DIVYANSHI PRAJAPAT"/>
        <s v="DIVYASH JAIN"/>
        <s v="GANESH VARMA"/>
        <s v="GOPAL"/>
        <s v="HARIOM BHAWSAR"/>
        <s v="HARIOM YADAV"/>
        <s v="HARSHIT RATHOD"/>
        <s v="HASNEHA VERMA"/>
        <s v="JATIN MAGRIYA"/>
        <s v="JAY"/>
        <s v="KARTIK GUPTA"/>
        <s v="KHUSHI JETHWA"/>
        <s v="KRATIKA VERMA"/>
        <s v="KRISHNA BHAWSAR"/>
        <s v="KULDEEP PATIDAR"/>
        <s v="KUSHAGRA MALYA"/>
        <s v="LALU KUSHWAH"/>
        <s v="MANSEE SAWALE"/>
        <s v="MANSHVEE CHOUHAN"/>
        <s v="MARATHE NILESH KAILASH"/>
        <s v="MONIKA MOURYA"/>
        <s v="NITIN SEN"/>
        <s v="PALLAVI PATIDAR"/>
        <s v="PIYUSH YADAV"/>
        <s v="PRACHI PANWAR"/>
        <s v="PRATIMA KAG"/>
        <s v="PRAYATN FATROD"/>
        <s v="PREM RAGHUVANSHI"/>
        <s v="PUSHTI MAHAJAN"/>
        <s v="RAJNANDINI CHOUHAN"/>
        <s v="RIZWAN SHEIKH"/>
        <s v="ROHIT BHARGAV"/>
        <s v="RUDRA NIKHORIA"/>
        <s v="SADHANA BIRLA"/>
        <s v="SAKSHI SONI"/>
        <s v="SAVITA YADAV"/>
        <s v="SHAILY RATHORE"/>
        <s v="SONALI VERMA"/>
        <s v="SUDHANSHU KUSHWAH"/>
        <s v="TARANJEET"/>
        <s v="TARUN RATHOR"/>
        <s v="TWINKLE JADAM"/>
        <s v="VEDANSH JOSHI"/>
        <s v="VISHAL PATEL"/>
        <s v="YASH GUJARATHI"/>
        <s v="YASH PATHAK"/>
        <s v="YASHAD SATHE"/>
        <s v="ZAID ALI SAIYED"/>
      </sharedItems>
    </cacheField>
    <cacheField name="Roll No" numFmtId="0">
      <sharedItems/>
    </cacheField>
    <cacheField name="Program" numFmtId="0">
      <sharedItems/>
    </cacheField>
    <cacheField name="Branch" numFmtId="0">
      <sharedItems/>
    </cacheField>
    <cacheField name="Semester" numFmtId="0">
      <sharedItems containsSemiMixedTypes="0" containsString="0" containsNumber="1" containsInteger="1" minValue="4" maxValue="4"/>
    </cacheField>
    <cacheField name="Status" numFmtId="0">
      <sharedItems/>
    </cacheField>
    <cacheField name="Session" numFmtId="17">
      <sharedItems containsSemiMixedTypes="0" containsNonDate="0" containsDate="1" containsString="0" minDate="2025-06-01T00:00:00" maxDate="2025-06-02T00:00:00"/>
    </cacheField>
    <cacheField name="AL401- [T]" numFmtId="0">
      <sharedItems/>
    </cacheField>
    <cacheField name="AL402- [T]" numFmtId="0">
      <sharedItems/>
    </cacheField>
    <cacheField name="AL403- [P]" numFmtId="0">
      <sharedItems/>
    </cacheField>
    <cacheField name="AL404- [P]" numFmtId="0">
      <sharedItems/>
    </cacheField>
    <cacheField name="AL405- [P]" numFmtId="0">
      <sharedItems/>
    </cacheField>
    <cacheField name="AL406- [P]" numFmtId="0">
      <sharedItems/>
    </cacheField>
    <cacheField name="Result Description" numFmtId="0">
      <sharedItems count="5">
        <s v="PASS"/>
        <s v="PASS WITH GRACE"/>
        <s v="Fail in AL401"/>
        <s v="Fail in AL401,AL402,AL405"/>
        <s v="Fail in AL405"/>
      </sharedItems>
    </cacheField>
    <cacheField name="SGPA" numFmtId="0">
      <sharedItems containsSemiMixedTypes="0" containsString="0" containsNumber="1" minValue="3.08" maxValue="8.25"/>
    </cacheField>
    <cacheField name="CGPA" numFmtId="0">
      <sharedItems containsSemiMixedTypes="0" containsString="0" containsNumber="1" minValue="3.57" maxValue="8.0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2">
  <r>
    <n v="0"/>
    <x v="0"/>
    <s v="0403AL231001"/>
    <s v="B.Tech"/>
    <s v="AL"/>
    <n v="4"/>
    <s v="Regular"/>
    <d v="2025-06-01T00:00:00"/>
    <s v="C+"/>
    <s v="B"/>
    <s v="A"/>
    <s v="A"/>
    <s v="A"/>
    <s v="A"/>
    <x v="0"/>
    <n v="7.08"/>
    <n v="6.71"/>
  </r>
  <r>
    <n v="1"/>
    <x v="1"/>
    <s v="0403AL231002"/>
    <s v="B.Tech"/>
    <s v="AL"/>
    <n v="4"/>
    <s v="Regular"/>
    <d v="2025-06-01T00:00:00"/>
    <s v="B"/>
    <s v="B"/>
    <s v="B"/>
    <s v="B"/>
    <s v="B"/>
    <s v="B"/>
    <x v="0"/>
    <n v="6.46"/>
    <n v="6.38"/>
  </r>
  <r>
    <n v="3"/>
    <x v="2"/>
    <s v="0403AL231004"/>
    <s v="B.Tech"/>
    <s v="AL"/>
    <n v="4"/>
    <s v="Regular"/>
    <d v="2025-06-01T00:00:00"/>
    <s v="D"/>
    <s v="C"/>
    <s v="B"/>
    <s v="B"/>
    <s v="B"/>
    <s v="B"/>
    <x v="1"/>
    <n v="5.38"/>
    <n v="5.5"/>
  </r>
  <r>
    <n v="4"/>
    <x v="3"/>
    <s v="0403AL231005"/>
    <s v="B.Tech"/>
    <s v="AL"/>
    <n v="4"/>
    <s v="Regular"/>
    <d v="2025-06-01T00:00:00"/>
    <s v="C"/>
    <s v="B"/>
    <s v="A"/>
    <s v="A"/>
    <s v="A"/>
    <s v="A"/>
    <x v="1"/>
    <n v="6.71"/>
    <n v="6.82"/>
  </r>
  <r>
    <n v="7"/>
    <x v="4"/>
    <s v="0403AL231008"/>
    <s v="B.Tech"/>
    <s v="AL"/>
    <n v="4"/>
    <s v="Regular"/>
    <d v="2025-06-01T00:00:00"/>
    <s v="F"/>
    <s v="C+"/>
    <s v="B+"/>
    <s v="B+"/>
    <s v="B+"/>
    <s v="B+"/>
    <x v="2"/>
    <n v="5.33"/>
    <n v="5.29"/>
  </r>
  <r>
    <n v="8"/>
    <x v="5"/>
    <s v="0403AL231009"/>
    <s v="B.Tech"/>
    <s v="AL"/>
    <n v="4"/>
    <s v="Regular"/>
    <d v="2025-06-01T00:00:00"/>
    <s v="F"/>
    <s v="C+"/>
    <s v="B+"/>
    <s v="B"/>
    <s v="B+"/>
    <s v="B+"/>
    <x v="2"/>
    <n v="5.21"/>
    <n v="5.52"/>
  </r>
  <r>
    <n v="9"/>
    <x v="6"/>
    <s v="0403AL231010"/>
    <s v="B.Tech"/>
    <s v="AL"/>
    <n v="4"/>
    <s v="Regular"/>
    <d v="2025-06-01T00:00:00"/>
    <s v="C+"/>
    <s v="B+"/>
    <s v="A+"/>
    <s v="A+"/>
    <s v="A+"/>
    <s v="A+"/>
    <x v="0"/>
    <n v="7.33"/>
    <n v="7.24"/>
  </r>
  <r>
    <n v="11"/>
    <x v="7"/>
    <s v="0403AL231012"/>
    <s v="B.Tech"/>
    <s v="AL"/>
    <n v="4"/>
    <s v="Regular"/>
    <d v="2025-06-01T00:00:00"/>
    <s v="C"/>
    <s v="B"/>
    <s v="A+"/>
    <s v="A"/>
    <s v="A+"/>
    <s v="A+"/>
    <x v="0"/>
    <n v="7.04"/>
    <n v="7.09"/>
  </r>
  <r>
    <n v="12"/>
    <x v="8"/>
    <s v="0403AL231013"/>
    <s v="B.Tech"/>
    <s v="AL"/>
    <n v="4"/>
    <s v="Regular"/>
    <d v="2025-06-01T00:00:00"/>
    <s v="C"/>
    <s v="C+"/>
    <s v="A"/>
    <s v="A"/>
    <s v="A"/>
    <s v="A"/>
    <x v="0"/>
    <n v="6.29"/>
    <n v="6.17"/>
  </r>
  <r>
    <n v="13"/>
    <x v="9"/>
    <s v="0403AL231014"/>
    <s v="B.Tech"/>
    <s v="AL"/>
    <n v="4"/>
    <s v="Regular"/>
    <d v="2025-06-01T00:00:00"/>
    <s v="C+"/>
    <s v="B"/>
    <s v="A+"/>
    <s v="A+"/>
    <s v="A+"/>
    <s v="A+"/>
    <x v="0"/>
    <n v="7.04"/>
    <n v="7.24"/>
  </r>
  <r>
    <n v="14"/>
    <x v="10"/>
    <s v="0403AL231015"/>
    <s v="B.Tech"/>
    <s v="AL"/>
    <n v="4"/>
    <s v="Regular"/>
    <d v="2025-06-01T00:00:00"/>
    <s v="B"/>
    <s v="C"/>
    <s v="B"/>
    <s v="C+"/>
    <s v="B"/>
    <s v="B"/>
    <x v="0"/>
    <n v="6.08"/>
    <n v="5.89"/>
  </r>
  <r>
    <n v="15"/>
    <x v="11"/>
    <s v="0403AL231016"/>
    <s v="B.Tech"/>
    <s v="AL"/>
    <n v="4"/>
    <s v="Regular"/>
    <d v="2025-06-01T00:00:00"/>
    <s v="C"/>
    <s v="B"/>
    <s v="A"/>
    <s v="A"/>
    <s v="A"/>
    <s v="A+"/>
    <x v="0"/>
    <n v="7.13"/>
    <n v="7.33"/>
  </r>
  <r>
    <n v="16"/>
    <x v="12"/>
    <s v="0403AL231017"/>
    <s v="B.Tech"/>
    <s v="AL"/>
    <n v="4"/>
    <s v="Regular"/>
    <d v="2025-06-01T00:00:00"/>
    <s v="C+"/>
    <s v="B+"/>
    <s v="A"/>
    <s v="A"/>
    <s v="A"/>
    <s v="A"/>
    <x v="0"/>
    <n v="7.5"/>
    <n v="7.09"/>
  </r>
  <r>
    <n v="17"/>
    <x v="13"/>
    <s v="0403AL231018"/>
    <s v="B.Tech"/>
    <s v="AL"/>
    <n v="4"/>
    <s v="Regular"/>
    <d v="2025-06-01T00:00:00"/>
    <s v="C+"/>
    <s v="B"/>
    <s v="A+"/>
    <s v="A"/>
    <s v="A"/>
    <s v="A"/>
    <x v="0"/>
    <n v="7.08"/>
    <n v="7.12"/>
  </r>
  <r>
    <n v="18"/>
    <x v="14"/>
    <s v="0403AL231019"/>
    <s v="B.Tech"/>
    <s v="AL"/>
    <n v="4"/>
    <s v="Regular"/>
    <d v="2025-06-01T00:00:00"/>
    <s v="C+"/>
    <s v="B"/>
    <s v="A+"/>
    <s v="A"/>
    <s v="A"/>
    <s v="A+"/>
    <x v="0"/>
    <n v="7.04"/>
    <n v="7.05"/>
  </r>
  <r>
    <n v="19"/>
    <x v="15"/>
    <s v="0403AL231020"/>
    <s v="B.Tech"/>
    <s v="AL"/>
    <n v="4"/>
    <s v="Regular"/>
    <d v="2025-06-01T00:00:00"/>
    <s v="F"/>
    <s v="F"/>
    <s v="A"/>
    <s v="B+"/>
    <s v="A"/>
    <s v="B+"/>
    <x v="3"/>
    <n v="3.54"/>
    <n v="4.66"/>
  </r>
  <r>
    <n v="20"/>
    <x v="16"/>
    <s v="0403AL231021"/>
    <s v="B.Tech"/>
    <s v="AL"/>
    <n v="4"/>
    <s v="Regular"/>
    <d v="2025-06-01T00:00:00"/>
    <s v="C+"/>
    <s v="B"/>
    <s v="A"/>
    <s v="A"/>
    <s v="B+"/>
    <s v="A"/>
    <x v="0"/>
    <n v="7.13"/>
    <n v="6.81"/>
  </r>
  <r>
    <n v="21"/>
    <x v="17"/>
    <s v="0403AL231022"/>
    <s v="B.Tech"/>
    <s v="AL"/>
    <n v="4"/>
    <s v="Regular"/>
    <d v="2025-06-01T00:00:00"/>
    <s v="C"/>
    <s v="B"/>
    <s v="B+"/>
    <s v="B+"/>
    <s v="B+"/>
    <s v="B+"/>
    <x v="0"/>
    <n v="6.38"/>
    <n v="6.11"/>
  </r>
  <r>
    <n v="23"/>
    <x v="18"/>
    <s v="0403AL231024"/>
    <s v="B.Tech"/>
    <s v="AL"/>
    <n v="4"/>
    <s v="Regular"/>
    <d v="2025-06-01T00:00:00"/>
    <s v="B"/>
    <s v="B"/>
    <s v="A"/>
    <s v="B+"/>
    <s v="A"/>
    <s v="A"/>
    <x v="0"/>
    <n v="6.92"/>
    <n v="6.49"/>
  </r>
  <r>
    <n v="24"/>
    <x v="19"/>
    <s v="0403AL231025"/>
    <s v="B.Tech"/>
    <s v="AL"/>
    <n v="4"/>
    <s v="Regular"/>
    <d v="2025-06-01T00:00:00"/>
    <s v="C+"/>
    <s v="B"/>
    <s v="A"/>
    <s v="A"/>
    <s v="A"/>
    <s v="A"/>
    <x v="0"/>
    <n v="7.21"/>
    <n v="6.72"/>
  </r>
  <r>
    <n v="26"/>
    <x v="20"/>
    <s v="0403AL231027"/>
    <s v="B.Tech"/>
    <s v="AL"/>
    <n v="4"/>
    <s v="Regular"/>
    <d v="2025-06-01T00:00:00"/>
    <s v="C+"/>
    <s v="B"/>
    <s v="A"/>
    <s v="A"/>
    <s v="A"/>
    <s v="A"/>
    <x v="0"/>
    <n v="6.92"/>
    <n v="6.62"/>
  </r>
  <r>
    <n v="27"/>
    <x v="21"/>
    <s v="0403AL231028"/>
    <s v="B.Tech"/>
    <s v="AL"/>
    <n v="4"/>
    <s v="Regular"/>
    <d v="2025-06-01T00:00:00"/>
    <s v="C+"/>
    <s v="B"/>
    <s v="A"/>
    <s v="B+"/>
    <s v="A"/>
    <s v="A"/>
    <x v="0"/>
    <n v="6.75"/>
    <n v="6.81"/>
  </r>
  <r>
    <n v="28"/>
    <x v="22"/>
    <s v="0403AL231029"/>
    <s v="B.Tech"/>
    <s v="AL"/>
    <n v="4"/>
    <s v="Regular"/>
    <d v="2025-06-01T00:00:00"/>
    <s v="C"/>
    <s v="D##"/>
    <s v="A"/>
    <s v="B+"/>
    <s v="A"/>
    <s v="B+"/>
    <x v="1"/>
    <n v="6"/>
    <n v="5.54"/>
  </r>
  <r>
    <n v="29"/>
    <x v="23"/>
    <s v="0403AL231030"/>
    <s v="B.Tech"/>
    <s v="AL"/>
    <n v="4"/>
    <s v="Regular"/>
    <d v="2025-06-01T00:00:00"/>
    <s v="F"/>
    <s v="D"/>
    <s v="B+"/>
    <s v="B+"/>
    <s v="A"/>
    <s v="A"/>
    <x v="2"/>
    <n v="4.92"/>
    <n v="5.71"/>
  </r>
  <r>
    <n v="30"/>
    <x v="24"/>
    <s v="0403AL231031"/>
    <s v="B.Tech"/>
    <s v="AL"/>
    <n v="4"/>
    <s v="Regular"/>
    <d v="2025-06-01T00:00:00"/>
    <s v="F"/>
    <s v="D"/>
    <s v="B+"/>
    <s v="B+"/>
    <s v="A"/>
    <s v="A"/>
    <x v="2"/>
    <n v="5.04"/>
    <n v="5.58"/>
  </r>
  <r>
    <n v="31"/>
    <x v="25"/>
    <s v="0403AL231032"/>
    <s v="B.Tech"/>
    <s v="AL"/>
    <n v="4"/>
    <s v="Regular"/>
    <d v="2025-06-01T00:00:00"/>
    <s v="B"/>
    <s v="B"/>
    <s v="A+"/>
    <s v="A+"/>
    <s v="A+"/>
    <s v="A+"/>
    <x v="0"/>
    <n v="7.79"/>
    <n v="7.76"/>
  </r>
  <r>
    <n v="32"/>
    <x v="26"/>
    <s v="0403AL231033"/>
    <s v="B.Tech"/>
    <s v="AL"/>
    <n v="4"/>
    <s v="Regular"/>
    <d v="2025-06-01T00:00:00"/>
    <s v="B"/>
    <s v="B+"/>
    <s v="A+"/>
    <s v="A+"/>
    <s v="A+"/>
    <s v="A+"/>
    <x v="0"/>
    <n v="8.0399999999999991"/>
    <n v="8.02"/>
  </r>
  <r>
    <n v="33"/>
    <x v="27"/>
    <s v="0403AL231034"/>
    <s v="B.Tech"/>
    <s v="AL"/>
    <n v="4"/>
    <s v="Regular"/>
    <d v="2025-06-01T00:00:00"/>
    <s v="C"/>
    <s v="C"/>
    <s v="A"/>
    <s v="A"/>
    <s v="A"/>
    <s v="A"/>
    <x v="0"/>
    <n v="6.42"/>
    <n v="6.39"/>
  </r>
  <r>
    <n v="34"/>
    <x v="28"/>
    <s v="0403AL231035"/>
    <s v="B.Tech"/>
    <s v="AL"/>
    <n v="4"/>
    <s v="Regular"/>
    <d v="2025-06-01T00:00:00"/>
    <s v="C"/>
    <s v="C"/>
    <s v="B+"/>
    <s v="B+"/>
    <s v="A"/>
    <s v="A"/>
    <x v="1"/>
    <n v="6.38"/>
    <n v="6.72"/>
  </r>
  <r>
    <n v="35"/>
    <x v="29"/>
    <s v="0403AL231036"/>
    <s v="B.Tech"/>
    <s v="AL"/>
    <n v="4"/>
    <s v="Regular"/>
    <d v="2025-06-01T00:00:00"/>
    <s v="F"/>
    <s v="F"/>
    <s v="B"/>
    <s v="C+"/>
    <s v="B+"/>
    <s v="B"/>
    <x v="3"/>
    <n v="3.08"/>
    <n v="3.57"/>
  </r>
  <r>
    <n v="37"/>
    <x v="30"/>
    <s v="0403AL231038"/>
    <s v="B.Tech"/>
    <s v="AL"/>
    <n v="4"/>
    <s v="Regular"/>
    <d v="2025-06-01T00:00:00"/>
    <s v="C"/>
    <s v="D"/>
    <s v="B"/>
    <s v="B"/>
    <s v="B"/>
    <s v="B"/>
    <x v="0"/>
    <n v="5.42"/>
    <n v="5.74"/>
  </r>
  <r>
    <n v="39"/>
    <x v="31"/>
    <s v="0403AL231040"/>
    <s v="B.Tech"/>
    <s v="AL"/>
    <n v="4"/>
    <s v="Regular"/>
    <d v="2025-06-01T00:00:00"/>
    <s v="B"/>
    <s v="B"/>
    <s v="A+"/>
    <s v="A+"/>
    <s v="A+"/>
    <s v="A+"/>
    <x v="0"/>
    <n v="7.92"/>
    <n v="7.27"/>
  </r>
  <r>
    <n v="40"/>
    <x v="32"/>
    <s v="0403AL231041"/>
    <s v="B.Tech"/>
    <s v="AL"/>
    <n v="4"/>
    <s v="Regular"/>
    <d v="2025-06-01T00:00:00"/>
    <s v="B"/>
    <s v="B"/>
    <s v="A+"/>
    <s v="A+"/>
    <s v="A+"/>
    <s v="A+"/>
    <x v="0"/>
    <n v="7.75"/>
    <n v="8.01"/>
  </r>
  <r>
    <n v="41"/>
    <x v="33"/>
    <s v="0403AL231042"/>
    <s v="B.Tech"/>
    <s v="AL"/>
    <n v="4"/>
    <s v="Regular"/>
    <d v="2025-06-01T00:00:00"/>
    <s v="C+"/>
    <s v="C"/>
    <s v="A"/>
    <s v="A+"/>
    <s v="A"/>
    <s v="A+"/>
    <x v="4"/>
    <n v="6.25"/>
    <n v="6.18"/>
  </r>
  <r>
    <n v="42"/>
    <x v="34"/>
    <s v="0403AL231043"/>
    <s v="B.Tech"/>
    <s v="AL"/>
    <n v="4"/>
    <s v="Regular"/>
    <d v="2025-06-01T00:00:00"/>
    <s v="B"/>
    <s v="C+"/>
    <s v="A+"/>
    <s v="A"/>
    <s v="A"/>
    <s v="A+"/>
    <x v="0"/>
    <n v="7.42"/>
    <n v="7.5"/>
  </r>
  <r>
    <n v="44"/>
    <x v="35"/>
    <s v="0403AL231045"/>
    <s v="B.Tech"/>
    <s v="AL"/>
    <n v="4"/>
    <s v="Regular"/>
    <d v="2025-06-01T00:00:00"/>
    <s v="B"/>
    <s v="C+"/>
    <s v="A"/>
    <s v="A+"/>
    <s v="A+"/>
    <s v="A+"/>
    <x v="0"/>
    <n v="7.42"/>
    <n v="7.43"/>
  </r>
  <r>
    <n v="45"/>
    <x v="36"/>
    <s v="0403AL231046"/>
    <s v="B.Tech"/>
    <s v="AL"/>
    <n v="4"/>
    <s v="Regular"/>
    <d v="2025-06-01T00:00:00"/>
    <s v="B"/>
    <s v="B"/>
    <s v="A+"/>
    <s v="A+"/>
    <s v="A+"/>
    <s v="A+"/>
    <x v="0"/>
    <n v="7.58"/>
    <n v="7.27"/>
  </r>
  <r>
    <n v="46"/>
    <x v="37"/>
    <s v="0403AL231047"/>
    <s v="B.Tech"/>
    <s v="AL"/>
    <n v="4"/>
    <s v="Regular"/>
    <d v="2025-06-01T00:00:00"/>
    <s v="C+"/>
    <s v="C+"/>
    <s v="A"/>
    <s v="A"/>
    <s v="A"/>
    <s v="A+"/>
    <x v="0"/>
    <n v="6.83"/>
    <n v="6.82"/>
  </r>
  <r>
    <n v="47"/>
    <x v="38"/>
    <s v="0403AL231048"/>
    <s v="B.Tech"/>
    <s v="AL"/>
    <n v="4"/>
    <s v="Regular"/>
    <d v="2025-06-01T00:00:00"/>
    <s v="B"/>
    <s v="B"/>
    <s v="A+"/>
    <s v="A+"/>
    <s v="A+"/>
    <s v="A+"/>
    <x v="0"/>
    <n v="8"/>
    <n v="7.9"/>
  </r>
  <r>
    <n v="51"/>
    <x v="39"/>
    <s v="0403AL231052"/>
    <s v="B.Tech"/>
    <s v="AL"/>
    <n v="4"/>
    <s v="Regular"/>
    <d v="2025-06-01T00:00:00"/>
    <s v="B+"/>
    <s v="B"/>
    <s v="A+"/>
    <s v="A+"/>
    <s v="A+"/>
    <s v="A+"/>
    <x v="0"/>
    <n v="8.25"/>
    <n v="8.07"/>
  </r>
  <r>
    <n v="52"/>
    <x v="40"/>
    <s v="0403AL231053"/>
    <s v="B.Tech"/>
    <s v="AL"/>
    <n v="4"/>
    <s v="Regular"/>
    <d v="2025-06-01T00:00:00"/>
    <s v="C"/>
    <s v="D"/>
    <s v="B+"/>
    <s v="B+"/>
    <s v="B+"/>
    <s v="A"/>
    <x v="0"/>
    <n v="5.96"/>
    <n v="6.17"/>
  </r>
  <r>
    <n v="53"/>
    <x v="41"/>
    <s v="0403AL231054"/>
    <s v="B.Tech"/>
    <s v="AL"/>
    <n v="4"/>
    <s v="Regular"/>
    <d v="2025-06-01T00:00:00"/>
    <s v="B"/>
    <s v="C+"/>
    <s v="A"/>
    <s v="A"/>
    <s v="A"/>
    <s v="A"/>
    <x v="0"/>
    <n v="7.33"/>
    <n v="6.7"/>
  </r>
  <r>
    <n v="54"/>
    <x v="42"/>
    <s v="0403AL231055"/>
    <s v="B.Tech"/>
    <s v="AL"/>
    <n v="4"/>
    <s v="Regular"/>
    <d v="2025-06-01T00:00:00"/>
    <s v="B"/>
    <s v="C"/>
    <s v="B"/>
    <s v="C+"/>
    <s v="B+"/>
    <s v="B"/>
    <x v="0"/>
    <n v="6.25"/>
    <n v="6.04"/>
  </r>
  <r>
    <n v="55"/>
    <x v="43"/>
    <s v="0403AL231056"/>
    <s v="B.Tech"/>
    <s v="AL"/>
    <n v="4"/>
    <s v="Regular"/>
    <d v="2025-06-01T00:00:00"/>
    <s v="B"/>
    <s v="C"/>
    <s v="B+"/>
    <s v="B+"/>
    <s v="B+"/>
    <s v="B+"/>
    <x v="0"/>
    <n v="6.46"/>
    <n v="7.01"/>
  </r>
  <r>
    <n v="57"/>
    <x v="44"/>
    <s v="0403AL231058"/>
    <s v="B.Tech"/>
    <s v="AL"/>
    <n v="4"/>
    <s v="Regular"/>
    <d v="2025-06-01T00:00:00"/>
    <s v="D"/>
    <s v="D##"/>
    <s v="B"/>
    <s v="B+"/>
    <s v="B+"/>
    <s v="B"/>
    <x v="1"/>
    <n v="5.33"/>
    <n v="6.02"/>
  </r>
  <r>
    <n v="58"/>
    <x v="45"/>
    <s v="0403AL231059"/>
    <s v="B.Tech"/>
    <s v="AL"/>
    <n v="4"/>
    <s v="Regular"/>
    <d v="2025-06-01T00:00:00"/>
    <s v="D"/>
    <s v="C"/>
    <s v="B"/>
    <s v="C+"/>
    <s v="B"/>
    <s v="C+"/>
    <x v="0"/>
    <n v="5.5"/>
    <n v="5.4"/>
  </r>
  <r>
    <n v="59"/>
    <x v="46"/>
    <s v="0403AL231060"/>
    <s v="B.Tech"/>
    <s v="AL"/>
    <n v="4"/>
    <s v="Regular"/>
    <d v="2025-06-01T00:00:00"/>
    <s v="C"/>
    <s v="C+"/>
    <s v="A"/>
    <s v="A"/>
    <s v="A"/>
    <s v="A"/>
    <x v="0"/>
    <n v="6.46"/>
    <n v="6.57"/>
  </r>
  <r>
    <n v="60"/>
    <x v="47"/>
    <s v="0403AL231061"/>
    <s v="B.Tech"/>
    <s v="AL"/>
    <n v="4"/>
    <s v="Regular"/>
    <d v="2025-06-01T00:00:00"/>
    <s v="B+"/>
    <s v="B+"/>
    <s v="A+"/>
    <s v="A+"/>
    <s v="A+"/>
    <s v="A+"/>
    <x v="0"/>
    <n v="7.96"/>
    <n v="7.91"/>
  </r>
  <r>
    <n v="61"/>
    <x v="48"/>
    <s v="0403AL231062"/>
    <s v="B.Tech"/>
    <s v="AL"/>
    <n v="4"/>
    <s v="Regular"/>
    <d v="2025-06-01T00:00:00"/>
    <s v="B"/>
    <s v="B+"/>
    <s v="A"/>
    <s v="A"/>
    <s v="A"/>
    <s v="A"/>
    <x v="0"/>
    <n v="7.79"/>
    <n v="7.42"/>
  </r>
  <r>
    <n v="62"/>
    <x v="49"/>
    <s v="0403AL231063"/>
    <s v="B.Tech"/>
    <s v="AL"/>
    <n v="4"/>
    <s v="Regular"/>
    <d v="2025-06-01T00:00:00"/>
    <s v="B+"/>
    <s v="B+"/>
    <s v="A+"/>
    <s v="A+"/>
    <s v="A+"/>
    <s v="A+"/>
    <x v="0"/>
    <n v="7.67"/>
    <n v="7.26"/>
  </r>
  <r>
    <n v="64"/>
    <x v="50"/>
    <s v="0403AL231065"/>
    <s v="B.Tech"/>
    <s v="AL"/>
    <n v="4"/>
    <s v="Regular"/>
    <d v="2025-06-01T00:00:00"/>
    <s v="B+"/>
    <s v="B+"/>
    <s v="A"/>
    <s v="A+"/>
    <s v="A+"/>
    <s v="A"/>
    <x v="0"/>
    <n v="8.0399999999999991"/>
    <n v="7.5"/>
  </r>
  <r>
    <n v="65"/>
    <x v="51"/>
    <s v="0403AL231066"/>
    <s v="B.Tech"/>
    <s v="AL"/>
    <n v="4"/>
    <s v="Regular"/>
    <d v="2025-06-01T00:00:00"/>
    <s v="C"/>
    <s v="B"/>
    <s v="A"/>
    <s v="A"/>
    <s v="A"/>
    <s v="A"/>
    <x v="0"/>
    <n v="6.88"/>
    <n v="6.8"/>
  </r>
  <r>
    <n v="66"/>
    <x v="52"/>
    <s v="0403AL231067"/>
    <s v="B.Tech"/>
    <s v="AL"/>
    <n v="4"/>
    <s v="Regular"/>
    <d v="2025-06-01T00:00:00"/>
    <s v="C"/>
    <s v="B"/>
    <s v="B"/>
    <s v="C+"/>
    <s v="B"/>
    <s v="B"/>
    <x v="0"/>
    <n v="6.21"/>
    <n v="5.75"/>
  </r>
  <r>
    <n v="67"/>
    <x v="53"/>
    <s v="0403AL231068"/>
    <s v="B.Tech"/>
    <s v="AL"/>
    <n v="4"/>
    <s v="Regular"/>
    <d v="2025-06-01T00:00:00"/>
    <s v="C"/>
    <s v="C+"/>
    <s v="B+"/>
    <s v="B"/>
    <s v="B+"/>
    <s v="B+"/>
    <x v="0"/>
    <n v="5.75"/>
    <n v="5.71"/>
  </r>
  <r>
    <n v="68"/>
    <x v="54"/>
    <s v="0403AL231069"/>
    <s v="B.Tech"/>
    <s v="AL"/>
    <n v="4"/>
    <s v="Regular"/>
    <d v="2025-06-01T00:00:00"/>
    <s v="F"/>
    <s v="B"/>
    <s v="B+"/>
    <s v="B"/>
    <s v="B+"/>
    <s v="B+"/>
    <x v="2"/>
    <n v="5.33"/>
    <n v="5.3"/>
  </r>
  <r>
    <n v="69"/>
    <x v="55"/>
    <s v="0403AL231070"/>
    <s v="B.Tech"/>
    <s v="AL"/>
    <n v="4"/>
    <s v="Regular"/>
    <d v="2025-06-01T00:00:00"/>
    <s v="C+"/>
    <s v="B+"/>
    <s v="A"/>
    <s v="A"/>
    <s v="A"/>
    <s v="A+"/>
    <x v="0"/>
    <n v="7.58"/>
    <n v="7.44"/>
  </r>
  <r>
    <n v="71"/>
    <x v="56"/>
    <s v="0403AL231072"/>
    <s v="B.Tech"/>
    <s v="AL"/>
    <n v="4"/>
    <s v="Regular"/>
    <d v="2025-06-01T00:00:00"/>
    <s v="C+"/>
    <s v="B"/>
    <s v="B+"/>
    <s v="B+"/>
    <s v="B+"/>
    <s v="B+"/>
    <x v="0"/>
    <n v="6.71"/>
    <n v="5.78"/>
  </r>
  <r>
    <n v="72"/>
    <x v="57"/>
    <s v="0403AL231073"/>
    <s v="B.Tech"/>
    <s v="AL"/>
    <n v="4"/>
    <s v="Regular"/>
    <d v="2025-06-01T00:00:00"/>
    <s v="C+"/>
    <s v="B+"/>
    <s v="B+"/>
    <s v="B"/>
    <s v="B+"/>
    <s v="B+"/>
    <x v="0"/>
    <n v="7.08"/>
    <n v="6.51"/>
  </r>
  <r>
    <n v="74"/>
    <x v="58"/>
    <s v="0403AL231075"/>
    <s v="B.Tech"/>
    <s v="AL"/>
    <n v="4"/>
    <s v="Regular"/>
    <d v="2025-06-01T00:00:00"/>
    <s v="C"/>
    <s v="B"/>
    <s v="A"/>
    <s v="A"/>
    <s v="A"/>
    <s v="A"/>
    <x v="0"/>
    <n v="7.04"/>
    <n v="6.85"/>
  </r>
  <r>
    <n v="75"/>
    <x v="59"/>
    <s v="0403AL231076"/>
    <s v="B.Tech"/>
    <s v="AL"/>
    <n v="4"/>
    <s v="Regular"/>
    <d v="2025-06-01T00:00:00"/>
    <s v="D##"/>
    <s v="B"/>
    <s v="B+"/>
    <s v="B+"/>
    <s v="B+"/>
    <s v="B+"/>
    <x v="1"/>
    <n v="5.96"/>
    <n v="5.8"/>
  </r>
  <r>
    <n v="76"/>
    <x v="60"/>
    <s v="0403AL231077"/>
    <s v="B.Tech"/>
    <s v="AL"/>
    <n v="4"/>
    <s v="Regular"/>
    <d v="2025-06-01T00:00:00"/>
    <s v="D"/>
    <s v="C+"/>
    <s v="A"/>
    <s v="A"/>
    <s v="A"/>
    <s v="B+"/>
    <x v="0"/>
    <n v="5.75"/>
    <n v="5.88"/>
  </r>
  <r>
    <n v="77"/>
    <x v="61"/>
    <s v="0403AL231078"/>
    <s v="B.Tech"/>
    <s v="AL"/>
    <n v="4"/>
    <s v="Regular"/>
    <d v="2025-06-01T00:00:00"/>
    <s v="C"/>
    <s v="B"/>
    <s v="B+"/>
    <s v="B+"/>
    <s v="A"/>
    <s v="A"/>
    <x v="0"/>
    <n v="6.46"/>
    <n v="6.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9050DC-C102-46E2-AAB8-7D85B546A886}" name="PivotTable10" cacheId="0" applyNumberFormats="0" applyBorderFormats="0" applyFontFormats="0" applyPatternFormats="0" applyAlignmentFormats="0" applyWidthHeightFormats="1" dataCaption="Values" updatedVersion="8" minRefreshableVersion="3" useAutoFormatting="1" rowGrandTotals="0" itemPrintTitles="1" createdVersion="4" indent="0" outline="1" outlineData="1" multipleFieldFilters="0" chartFormat="7">
  <location ref="A64:B126" firstHeaderRow="1" firstDataRow="1" firstDataCol="1"/>
  <pivotFields count="17">
    <pivotField showAll="0"/>
    <pivotField axis="axisRow" showAll="0" sortType="descending">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7" showAll="0"/>
    <pivotField showAll="0"/>
    <pivotField showAll="0"/>
    <pivotField showAll="0"/>
    <pivotField showAll="0"/>
    <pivotField showAll="0"/>
    <pivotField showAll="0"/>
    <pivotField showAll="0"/>
    <pivotField dataField="1" showAll="0"/>
    <pivotField showAll="0"/>
  </pivotFields>
  <rowFields count="1">
    <field x="1"/>
  </rowFields>
  <rowItems count="62">
    <i>
      <x v="39"/>
    </i>
    <i>
      <x v="26"/>
    </i>
    <i>
      <x v="50"/>
    </i>
    <i>
      <x v="38"/>
    </i>
    <i>
      <x v="47"/>
    </i>
    <i>
      <x v="31"/>
    </i>
    <i>
      <x v="48"/>
    </i>
    <i>
      <x v="25"/>
    </i>
    <i>
      <x v="32"/>
    </i>
    <i>
      <x v="49"/>
    </i>
    <i>
      <x v="55"/>
    </i>
    <i>
      <x v="36"/>
    </i>
    <i>
      <x v="12"/>
    </i>
    <i>
      <x v="34"/>
    </i>
    <i>
      <x v="35"/>
    </i>
    <i>
      <x v="6"/>
    </i>
    <i>
      <x v="41"/>
    </i>
    <i>
      <x v="19"/>
    </i>
    <i>
      <x v="16"/>
    </i>
    <i>
      <x v="11"/>
    </i>
    <i>
      <x/>
    </i>
    <i>
      <x v="13"/>
    </i>
    <i>
      <x v="57"/>
    </i>
    <i>
      <x v="9"/>
    </i>
    <i>
      <x v="58"/>
    </i>
    <i>
      <x v="14"/>
    </i>
    <i>
      <x v="7"/>
    </i>
    <i>
      <x v="20"/>
    </i>
    <i>
      <x v="18"/>
    </i>
    <i>
      <x v="51"/>
    </i>
    <i>
      <x v="37"/>
    </i>
    <i>
      <x v="21"/>
    </i>
    <i>
      <x v="56"/>
    </i>
    <i>
      <x v="3"/>
    </i>
    <i>
      <x v="1"/>
    </i>
    <i>
      <x v="43"/>
    </i>
    <i>
      <x v="46"/>
    </i>
    <i>
      <x v="61"/>
    </i>
    <i>
      <x v="27"/>
    </i>
    <i>
      <x v="17"/>
    </i>
    <i>
      <x v="28"/>
    </i>
    <i>
      <x v="8"/>
    </i>
    <i>
      <x v="33"/>
    </i>
    <i>
      <x v="42"/>
    </i>
    <i>
      <x v="52"/>
    </i>
    <i>
      <x v="10"/>
    </i>
    <i>
      <x v="22"/>
    </i>
    <i>
      <x v="59"/>
    </i>
    <i>
      <x v="40"/>
    </i>
    <i>
      <x v="60"/>
    </i>
    <i>
      <x v="53"/>
    </i>
    <i>
      <x v="45"/>
    </i>
    <i>
      <x v="30"/>
    </i>
    <i>
      <x v="2"/>
    </i>
    <i>
      <x v="44"/>
    </i>
    <i>
      <x v="4"/>
    </i>
    <i>
      <x v="54"/>
    </i>
    <i>
      <x v="5"/>
    </i>
    <i>
      <x v="24"/>
    </i>
    <i>
      <x v="23"/>
    </i>
    <i>
      <x v="15"/>
    </i>
    <i>
      <x v="29"/>
    </i>
  </rowItems>
  <colItems count="1">
    <i/>
  </colItems>
  <dataFields count="1">
    <dataField name="Sum of SGPA" fld="1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2" cacheId="0" applyNumberFormats="0" applyBorderFormats="0" applyFontFormats="0" applyPatternFormats="0" applyAlignmentFormats="0" applyWidthHeightFormats="1" dataCaption="Values" updatedVersion="8" minRefreshableVersion="3" useAutoFormatting="1" rowGrandTotals="0" itemPrintTitles="1" createdVersion="4" indent="0" outline="1" outlineData="1" multipleFieldFilters="0" chartFormat="8">
  <location ref="D3:E65" firstHeaderRow="1" firstDataRow="1" firstDataCol="1"/>
  <pivotFields count="17">
    <pivotField showAll="0"/>
    <pivotField axis="axisRow" showAll="0" sortType="descending">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7" showAll="0"/>
    <pivotField showAll="0"/>
    <pivotField showAll="0"/>
    <pivotField showAll="0"/>
    <pivotField showAll="0"/>
    <pivotField showAll="0"/>
    <pivotField showAll="0"/>
    <pivotField showAll="0"/>
    <pivotField dataField="1" showAll="0"/>
    <pivotField showAll="0"/>
  </pivotFields>
  <rowFields count="1">
    <field x="1"/>
  </rowFields>
  <rowItems count="62">
    <i>
      <x v="39"/>
    </i>
    <i>
      <x v="26"/>
    </i>
    <i>
      <x v="50"/>
    </i>
    <i>
      <x v="38"/>
    </i>
    <i>
      <x v="47"/>
    </i>
    <i>
      <x v="31"/>
    </i>
    <i>
      <x v="48"/>
    </i>
    <i>
      <x v="25"/>
    </i>
    <i>
      <x v="32"/>
    </i>
    <i>
      <x v="49"/>
    </i>
    <i>
      <x v="55"/>
    </i>
    <i>
      <x v="36"/>
    </i>
    <i>
      <x v="12"/>
    </i>
    <i>
      <x v="34"/>
    </i>
    <i>
      <x v="35"/>
    </i>
    <i>
      <x v="6"/>
    </i>
    <i>
      <x v="41"/>
    </i>
    <i>
      <x v="19"/>
    </i>
    <i>
      <x v="16"/>
    </i>
    <i>
      <x v="11"/>
    </i>
    <i>
      <x/>
    </i>
    <i>
      <x v="13"/>
    </i>
    <i>
      <x v="57"/>
    </i>
    <i>
      <x v="9"/>
    </i>
    <i>
      <x v="58"/>
    </i>
    <i>
      <x v="14"/>
    </i>
    <i>
      <x v="7"/>
    </i>
    <i>
      <x v="20"/>
    </i>
    <i>
      <x v="18"/>
    </i>
    <i>
      <x v="51"/>
    </i>
    <i>
      <x v="37"/>
    </i>
    <i>
      <x v="21"/>
    </i>
    <i>
      <x v="56"/>
    </i>
    <i>
      <x v="3"/>
    </i>
    <i>
      <x v="1"/>
    </i>
    <i>
      <x v="43"/>
    </i>
    <i>
      <x v="46"/>
    </i>
    <i>
      <x v="61"/>
    </i>
    <i>
      <x v="27"/>
    </i>
    <i>
      <x v="17"/>
    </i>
    <i>
      <x v="28"/>
    </i>
    <i>
      <x v="8"/>
    </i>
    <i>
      <x v="33"/>
    </i>
    <i>
      <x v="42"/>
    </i>
    <i>
      <x v="52"/>
    </i>
    <i>
      <x v="10"/>
    </i>
    <i>
      <x v="22"/>
    </i>
    <i>
      <x v="59"/>
    </i>
    <i>
      <x v="40"/>
    </i>
    <i>
      <x v="60"/>
    </i>
    <i>
      <x v="53"/>
    </i>
    <i>
      <x v="45"/>
    </i>
    <i>
      <x v="30"/>
    </i>
    <i>
      <x v="2"/>
    </i>
    <i>
      <x v="44"/>
    </i>
    <i>
      <x v="4"/>
    </i>
    <i>
      <x v="54"/>
    </i>
    <i>
      <x v="5"/>
    </i>
    <i>
      <x v="24"/>
    </i>
    <i>
      <x v="23"/>
    </i>
    <i>
      <x v="15"/>
    </i>
    <i>
      <x v="29"/>
    </i>
  </rowItems>
  <colItems count="1">
    <i/>
  </colItems>
  <dataFields count="1">
    <dataField name="Sum of SGPA" fld="15"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4" cacheId="0" applyNumberFormats="0" applyBorderFormats="0" applyFontFormats="0" applyPatternFormats="0" applyAlignmentFormats="0" applyWidthHeightFormats="1" dataCaption="Values" updatedVersion="8" minRefreshableVersion="3" useAutoFormatting="1" rowGrandTotals="0" itemPrintTitles="1" createdVersion="4" indent="0" outline="1" outlineData="1" multipleFieldFilters="0" rowHeaderCaption="Pass">
  <location ref="A11:A59" firstHeaderRow="1" firstDataRow="1" firstDataCol="1"/>
  <pivotFields count="17">
    <pivotField showAll="0"/>
    <pivotField axis="axisRow" showAll="0" sortType="ascending">
      <items count="63">
        <item sd="0" x="0"/>
        <item sd="0" x="1"/>
        <item x="2"/>
        <item x="3"/>
        <item x="4"/>
        <item x="5"/>
        <item sd="0" x="6"/>
        <item sd="0" x="7"/>
        <item sd="0" x="8"/>
        <item sd="0" x="9"/>
        <item sd="0" x="10"/>
        <item sd="0" x="11"/>
        <item sd="0" x="12"/>
        <item sd="0" x="13"/>
        <item sd="0" x="14"/>
        <item x="15"/>
        <item sd="0" x="16"/>
        <item sd="0" x="17"/>
        <item sd="0" x="18"/>
        <item sd="0" x="19"/>
        <item sd="0" x="20"/>
        <item sd="0" x="21"/>
        <item x="22"/>
        <item x="23"/>
        <item x="24"/>
        <item sd="0" x="25"/>
        <item sd="0" x="26"/>
        <item sd="0" x="27"/>
        <item x="28"/>
        <item x="29"/>
        <item sd="0" x="30"/>
        <item sd="0" x="31"/>
        <item sd="0" x="32"/>
        <item x="33"/>
        <item sd="0" x="34"/>
        <item sd="0" x="35"/>
        <item sd="0" x="36"/>
        <item sd="0" x="37"/>
        <item sd="0" x="38"/>
        <item sd="0" x="39"/>
        <item sd="0" x="40"/>
        <item sd="0" x="41"/>
        <item sd="0" x="42"/>
        <item sd="0" x="43"/>
        <item x="44"/>
        <item sd="0" x="45"/>
        <item sd="0" x="46"/>
        <item sd="0" x="47"/>
        <item sd="0" x="48"/>
        <item sd="0" x="49"/>
        <item sd="0" x="50"/>
        <item sd="0" x="51"/>
        <item sd="0" x="52"/>
        <item sd="0" x="53"/>
        <item x="54"/>
        <item sd="0" x="55"/>
        <item sd="0" x="56"/>
        <item sd="0" x="57"/>
        <item sd="0" x="58"/>
        <item x="59"/>
        <item sd="0" x="60"/>
        <item sd="0" x="61"/>
        <item t="default"/>
      </items>
    </pivotField>
    <pivotField showAll="0"/>
    <pivotField showAll="0"/>
    <pivotField showAll="0"/>
    <pivotField showAll="0"/>
    <pivotField showAll="0"/>
    <pivotField numFmtId="17" showAll="0"/>
    <pivotField showAll="0"/>
    <pivotField showAll="0"/>
    <pivotField showAll="0"/>
    <pivotField showAll="0"/>
    <pivotField showAll="0"/>
    <pivotField showAll="0"/>
    <pivotField axis="axisRow" showAll="0">
      <items count="6">
        <item h="1" x="2"/>
        <item h="1" x="3"/>
        <item h="1" x="4"/>
        <item x="0"/>
        <item h="1" x="1"/>
        <item t="default"/>
      </items>
    </pivotField>
    <pivotField showAll="0"/>
    <pivotField showAll="0"/>
  </pivotFields>
  <rowFields count="2">
    <field x="1"/>
    <field x="14"/>
  </rowFields>
  <rowItems count="48">
    <i>
      <x/>
    </i>
    <i>
      <x v="1"/>
    </i>
    <i>
      <x v="6"/>
    </i>
    <i>
      <x v="7"/>
    </i>
    <i>
      <x v="8"/>
    </i>
    <i>
      <x v="9"/>
    </i>
    <i>
      <x v="10"/>
    </i>
    <i>
      <x v="11"/>
    </i>
    <i>
      <x v="12"/>
    </i>
    <i>
      <x v="13"/>
    </i>
    <i>
      <x v="14"/>
    </i>
    <i>
      <x v="16"/>
    </i>
    <i>
      <x v="17"/>
    </i>
    <i>
      <x v="18"/>
    </i>
    <i>
      <x v="19"/>
    </i>
    <i>
      <x v="20"/>
    </i>
    <i>
      <x v="21"/>
    </i>
    <i>
      <x v="25"/>
    </i>
    <i>
      <x v="26"/>
    </i>
    <i>
      <x v="27"/>
    </i>
    <i>
      <x v="30"/>
    </i>
    <i>
      <x v="31"/>
    </i>
    <i>
      <x v="32"/>
    </i>
    <i>
      <x v="34"/>
    </i>
    <i>
      <x v="35"/>
    </i>
    <i>
      <x v="36"/>
    </i>
    <i>
      <x v="37"/>
    </i>
    <i>
      <x v="38"/>
    </i>
    <i>
      <x v="39"/>
    </i>
    <i>
      <x v="40"/>
    </i>
    <i>
      <x v="41"/>
    </i>
    <i>
      <x v="42"/>
    </i>
    <i>
      <x v="43"/>
    </i>
    <i>
      <x v="45"/>
    </i>
    <i>
      <x v="46"/>
    </i>
    <i>
      <x v="47"/>
    </i>
    <i>
      <x v="48"/>
    </i>
    <i>
      <x v="49"/>
    </i>
    <i>
      <x v="50"/>
    </i>
    <i>
      <x v="51"/>
    </i>
    <i>
      <x v="52"/>
    </i>
    <i>
      <x v="53"/>
    </i>
    <i>
      <x v="55"/>
    </i>
    <i>
      <x v="56"/>
    </i>
    <i>
      <x v="57"/>
    </i>
    <i>
      <x v="58"/>
    </i>
    <i>
      <x v="60"/>
    </i>
    <i>
      <x v="6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7" cacheId="0" applyNumberFormats="0" applyBorderFormats="0" applyFontFormats="0" applyPatternFormats="0" applyAlignmentFormats="0" applyWidthHeightFormats="1" dataCaption="Values" updatedVersion="8" minRefreshableVersion="3" useAutoFormatting="1" rowGrandTotals="0" itemPrintTitles="1" createdVersion="4" indent="0" outline="1" outlineData="1" multipleFieldFilters="0" rowHeaderCaption="PASS WITH GRACE">
  <location ref="B17:B23" firstHeaderRow="1" firstDataRow="1" firstDataCol="1"/>
  <pivotFields count="17">
    <pivotField showAll="0"/>
    <pivotField axis="axisRow" showAll="0" sortType="ascending">
      <items count="63">
        <item x="0"/>
        <item x="1"/>
        <item sd="0" x="2"/>
        <item sd="0" x="3"/>
        <item x="4"/>
        <item x="5"/>
        <item x="6"/>
        <item x="7"/>
        <item x="8"/>
        <item x="9"/>
        <item x="10"/>
        <item x="11"/>
        <item x="12"/>
        <item x="13"/>
        <item x="14"/>
        <item x="15"/>
        <item x="16"/>
        <item x="17"/>
        <item x="18"/>
        <item x="19"/>
        <item x="20"/>
        <item x="21"/>
        <item sd="0" x="22"/>
        <item x="23"/>
        <item x="24"/>
        <item x="25"/>
        <item x="26"/>
        <item x="27"/>
        <item sd="0" x="28"/>
        <item x="29"/>
        <item x="30"/>
        <item x="31"/>
        <item x="32"/>
        <item x="33"/>
        <item x="34"/>
        <item x="35"/>
        <item x="36"/>
        <item x="37"/>
        <item x="38"/>
        <item x="39"/>
        <item x="40"/>
        <item x="41"/>
        <item x="42"/>
        <item x="43"/>
        <item sd="0" x="44"/>
        <item x="45"/>
        <item x="46"/>
        <item x="47"/>
        <item x="48"/>
        <item x="49"/>
        <item x="50"/>
        <item x="51"/>
        <item x="52"/>
        <item x="53"/>
        <item x="54"/>
        <item x="55"/>
        <item x="56"/>
        <item x="57"/>
        <item x="58"/>
        <item sd="0" x="59"/>
        <item x="60"/>
        <item x="61"/>
        <item t="default"/>
      </items>
    </pivotField>
    <pivotField showAll="0"/>
    <pivotField showAll="0"/>
    <pivotField showAll="0"/>
    <pivotField showAll="0"/>
    <pivotField showAll="0"/>
    <pivotField numFmtId="17" showAll="0"/>
    <pivotField showAll="0"/>
    <pivotField showAll="0"/>
    <pivotField showAll="0"/>
    <pivotField showAll="0"/>
    <pivotField showAll="0"/>
    <pivotField showAll="0"/>
    <pivotField axis="axisRow" showAll="0">
      <items count="6">
        <item h="1" x="2"/>
        <item h="1" x="3"/>
        <item h="1" x="4"/>
        <item h="1" x="0"/>
        <item x="1"/>
        <item t="default"/>
      </items>
    </pivotField>
    <pivotField showAll="0"/>
    <pivotField showAll="0"/>
  </pivotFields>
  <rowFields count="2">
    <field x="1"/>
    <field x="14"/>
  </rowFields>
  <rowItems count="6">
    <i>
      <x v="2"/>
    </i>
    <i>
      <x v="3"/>
    </i>
    <i>
      <x v="22"/>
    </i>
    <i>
      <x v="28"/>
    </i>
    <i>
      <x v="44"/>
    </i>
    <i>
      <x v="59"/>
    </i>
  </rowItems>
  <colItems count="1">
    <i/>
  </colItems>
  <formats count="1">
    <format dxfId="4">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9" cacheId="0" applyNumberFormats="0" applyBorderFormats="0" applyFontFormats="0" applyPatternFormats="0" applyAlignmentFormats="0" applyWidthHeightFormats="1" dataCaption="Values" updatedVersion="8" minRefreshableVersion="3" useAutoFormatting="1" rowGrandTotals="0" itemPrintTitles="1" createdVersion="4" indent="0" outline="1" outlineData="1" multipleFieldFilters="0" rowHeaderCaption="Fail in AL401">
  <location ref="B37:B42" firstHeaderRow="1" firstDataRow="1" firstDataCol="1"/>
  <pivotFields count="17">
    <pivotField showAll="0"/>
    <pivotField axis="axisRow" showAll="0" sortType="ascending">
      <items count="63">
        <item x="0"/>
        <item x="1"/>
        <item x="2"/>
        <item x="3"/>
        <item sd="0" x="4"/>
        <item sd="0" x="5"/>
        <item x="6"/>
        <item x="7"/>
        <item x="8"/>
        <item x="9"/>
        <item x="10"/>
        <item x="11"/>
        <item x="12"/>
        <item x="13"/>
        <item x="14"/>
        <item x="15"/>
        <item x="16"/>
        <item x="17"/>
        <item x="18"/>
        <item x="19"/>
        <item x="20"/>
        <item x="21"/>
        <item x="22"/>
        <item sd="0" x="23"/>
        <item sd="0" x="24"/>
        <item x="25"/>
        <item x="26"/>
        <item x="27"/>
        <item x="28"/>
        <item x="29"/>
        <item x="30"/>
        <item x="31"/>
        <item x="32"/>
        <item x="33"/>
        <item x="34"/>
        <item x="35"/>
        <item x="36"/>
        <item x="37"/>
        <item x="38"/>
        <item x="39"/>
        <item x="40"/>
        <item x="41"/>
        <item x="42"/>
        <item x="43"/>
        <item x="44"/>
        <item x="45"/>
        <item x="46"/>
        <item x="47"/>
        <item x="48"/>
        <item x="49"/>
        <item x="50"/>
        <item x="51"/>
        <item x="52"/>
        <item x="53"/>
        <item sd="0" x="54"/>
        <item x="55"/>
        <item x="56"/>
        <item x="57"/>
        <item x="58"/>
        <item x="59"/>
        <item x="60"/>
        <item x="61"/>
        <item t="default"/>
      </items>
    </pivotField>
    <pivotField showAll="0"/>
    <pivotField showAll="0"/>
    <pivotField showAll="0"/>
    <pivotField showAll="0"/>
    <pivotField showAll="0"/>
    <pivotField numFmtId="17" showAll="0"/>
    <pivotField showAll="0"/>
    <pivotField showAll="0"/>
    <pivotField showAll="0"/>
    <pivotField showAll="0"/>
    <pivotField showAll="0"/>
    <pivotField showAll="0"/>
    <pivotField axis="axisRow" showAll="0">
      <items count="6">
        <item x="2"/>
        <item h="1" x="3"/>
        <item h="1" x="4"/>
        <item h="1" x="0"/>
        <item h="1" x="1"/>
        <item t="default"/>
      </items>
    </pivotField>
    <pivotField showAll="0"/>
    <pivotField showAll="0"/>
  </pivotFields>
  <rowFields count="2">
    <field x="1"/>
    <field x="14"/>
  </rowFields>
  <rowItems count="5">
    <i>
      <x v="4"/>
    </i>
    <i>
      <x v="5"/>
    </i>
    <i>
      <x v="23"/>
    </i>
    <i>
      <x v="24"/>
    </i>
    <i>
      <x v="5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5" cacheId="0" applyNumberFormats="0" applyBorderFormats="0" applyFontFormats="0" applyPatternFormats="0" applyAlignmentFormats="0" applyWidthHeightFormats="1" dataCaption="Values" updatedVersion="8" minRefreshableVersion="3" useAutoFormatting="1" rowGrandTotals="0" itemPrintTitles="1" createdVersion="4" indent="0" outline="1" outlineData="1" multipleFieldFilters="0">
  <location ref="D68:E130" firstHeaderRow="1" firstDataRow="1" firstDataCol="1"/>
  <pivotFields count="17">
    <pivotField showAll="0"/>
    <pivotField axis="axisRow"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dataField="1" showAll="0"/>
    <pivotField showAll="0"/>
    <pivotField showAll="0"/>
    <pivotField showAll="0"/>
    <pivotField showAll="0"/>
    <pivotField numFmtId="17" showAll="0"/>
    <pivotField showAll="0"/>
    <pivotField showAll="0"/>
    <pivotField showAll="0"/>
    <pivotField showAll="0"/>
    <pivotField showAll="0"/>
    <pivotField showAll="0"/>
    <pivotField showAll="0"/>
    <pivotField showAll="0"/>
    <pivotField showAll="0"/>
  </pivotFields>
  <rowFields count="1">
    <field x="1"/>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rowItems>
  <colItems count="1">
    <i/>
  </colItems>
  <dataFields count="1">
    <dataField name="Count of Roll No"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8" cacheId="0" applyNumberFormats="0" applyBorderFormats="0" applyFontFormats="0" applyPatternFormats="0" applyAlignmentFormats="0" applyWidthHeightFormats="1" dataCaption="Values" updatedVersion="8" minRefreshableVersion="3" useAutoFormatting="1" rowGrandTotals="0" itemPrintTitles="1" createdVersion="4" indent="0" outline="1" outlineData="1" multipleFieldFilters="0" rowHeaderCaption="Fail in AL405">
  <location ref="B33:B34" firstHeaderRow="1" firstDataRow="1" firstDataCol="1"/>
  <pivotFields count="17">
    <pivotField showAll="0"/>
    <pivotField axis="axisRow" showAll="0" sortType="ascending">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sd="0"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numFmtId="17" showAll="0"/>
    <pivotField showAll="0"/>
    <pivotField showAll="0"/>
    <pivotField showAll="0"/>
    <pivotField showAll="0"/>
    <pivotField showAll="0"/>
    <pivotField showAll="0"/>
    <pivotField axis="axisRow" showAll="0">
      <items count="6">
        <item h="1" x="2"/>
        <item h="1" x="3"/>
        <item x="4"/>
        <item h="1" x="0"/>
        <item h="1" x="1"/>
        <item t="default"/>
      </items>
    </pivotField>
    <pivotField showAll="0"/>
    <pivotField showAll="0"/>
  </pivotFields>
  <rowFields count="2">
    <field x="1"/>
    <field x="14"/>
  </rowFields>
  <rowItems count="1">
    <i>
      <x v="3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6" cacheId="0" applyNumberFormats="0" applyBorderFormats="0" applyFontFormats="0" applyPatternFormats="0" applyAlignmentFormats="0" applyWidthHeightFormats="1" dataCaption="Values" updatedVersion="8" minRefreshableVersion="3" useAutoFormatting="1" rowGrandTotals="0" itemPrintTitles="1" createdVersion="4" indent="0" outline="1" outlineData="1" multipleFieldFilters="0" rowHeaderCaption="Fail in AL401,AL402,AL405">
  <location ref="B11:B13" firstHeaderRow="1" firstDataRow="1" firstDataCol="1"/>
  <pivotFields count="17">
    <pivotField showAll="0"/>
    <pivotField axis="axisRow" showAll="0" sortType="ascending">
      <items count="63">
        <item x="0"/>
        <item x="1"/>
        <item x="2"/>
        <item x="3"/>
        <item x="4"/>
        <item x="5"/>
        <item x="6"/>
        <item x="7"/>
        <item x="8"/>
        <item x="9"/>
        <item x="10"/>
        <item x="11"/>
        <item x="12"/>
        <item x="13"/>
        <item x="14"/>
        <item sd="0" x="15"/>
        <item x="16"/>
        <item x="17"/>
        <item x="18"/>
        <item x="19"/>
        <item x="20"/>
        <item x="21"/>
        <item x="22"/>
        <item x="23"/>
        <item x="24"/>
        <item x="25"/>
        <item x="26"/>
        <item x="27"/>
        <item x="28"/>
        <item sd="0"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numFmtId="17" showAll="0"/>
    <pivotField showAll="0"/>
    <pivotField showAll="0"/>
    <pivotField showAll="0"/>
    <pivotField showAll="0"/>
    <pivotField showAll="0"/>
    <pivotField showAll="0"/>
    <pivotField axis="axisRow" showAll="0">
      <items count="6">
        <item h="1" x="2"/>
        <item x="3"/>
        <item h="1" x="4"/>
        <item h="1" x="0"/>
        <item h="1" x="1"/>
        <item t="default"/>
      </items>
    </pivotField>
    <pivotField showAll="0"/>
    <pivotField showAll="0"/>
  </pivotFields>
  <rowFields count="2">
    <field x="1"/>
    <field x="14"/>
  </rowFields>
  <rowItems count="2">
    <i>
      <x v="15"/>
    </i>
    <i>
      <x v="29"/>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0" applyNumberFormats="0" applyBorderFormats="0" applyFontFormats="0" applyPatternFormats="0" applyAlignmentFormats="0" applyWidthHeightFormats="1" dataCaption="Values" updatedVersion="8" minRefreshableVersion="3" useAutoFormatting="1" rowGrandTotals="0" itemPrintTitles="1" createdVersion="4" indent="0" outline="1" outlineData="1" multipleFieldFilters="0" chartFormat="7">
  <location ref="G3:H65" firstHeaderRow="1" firstDataRow="1" firstDataCol="1"/>
  <pivotFields count="17">
    <pivotField showAll="0"/>
    <pivotField axis="axisRow" showAll="0" sortType="descending">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7" showAll="0"/>
    <pivotField showAll="0"/>
    <pivotField showAll="0"/>
    <pivotField showAll="0"/>
    <pivotField showAll="0"/>
    <pivotField showAll="0"/>
    <pivotField showAll="0"/>
    <pivotField showAll="0"/>
    <pivotField showAll="0"/>
    <pivotField dataField="1" showAll="0"/>
  </pivotFields>
  <rowFields count="1">
    <field x="1"/>
  </rowFields>
  <rowItems count="62">
    <i>
      <x v="39"/>
    </i>
    <i>
      <x v="26"/>
    </i>
    <i>
      <x v="32"/>
    </i>
    <i>
      <x v="47"/>
    </i>
    <i>
      <x v="38"/>
    </i>
    <i>
      <x v="25"/>
    </i>
    <i>
      <x v="50"/>
    </i>
    <i>
      <x v="34"/>
    </i>
    <i>
      <x v="55"/>
    </i>
    <i>
      <x v="35"/>
    </i>
    <i>
      <x v="48"/>
    </i>
    <i>
      <x v="11"/>
    </i>
    <i>
      <x v="31"/>
    </i>
    <i>
      <x v="36"/>
    </i>
    <i>
      <x v="49"/>
    </i>
    <i>
      <x v="9"/>
    </i>
    <i>
      <x v="6"/>
    </i>
    <i>
      <x v="13"/>
    </i>
    <i>
      <x v="12"/>
    </i>
    <i>
      <x v="7"/>
    </i>
    <i>
      <x v="14"/>
    </i>
    <i>
      <x v="43"/>
    </i>
    <i>
      <x v="58"/>
    </i>
    <i>
      <x v="37"/>
    </i>
    <i>
      <x v="3"/>
    </i>
    <i>
      <x v="16"/>
    </i>
    <i>
      <x v="21"/>
    </i>
    <i>
      <x v="51"/>
    </i>
    <i>
      <x v="28"/>
    </i>
    <i>
      <x v="19"/>
    </i>
    <i>
      <x/>
    </i>
    <i>
      <x v="41"/>
    </i>
    <i>
      <x v="20"/>
    </i>
    <i>
      <x v="46"/>
    </i>
    <i>
      <x v="57"/>
    </i>
    <i>
      <x v="18"/>
    </i>
    <i>
      <x v="27"/>
    </i>
    <i>
      <x v="1"/>
    </i>
    <i>
      <x v="33"/>
    </i>
    <i>
      <x v="8"/>
    </i>
    <i>
      <x v="40"/>
    </i>
    <i>
      <x v="17"/>
    </i>
    <i>
      <x v="42"/>
    </i>
    <i>
      <x v="44"/>
    </i>
    <i>
      <x v="61"/>
    </i>
    <i>
      <x v="10"/>
    </i>
    <i>
      <x v="60"/>
    </i>
    <i>
      <x v="59"/>
    </i>
    <i>
      <x v="56"/>
    </i>
    <i>
      <x v="52"/>
    </i>
    <i>
      <x v="30"/>
    </i>
    <i>
      <x v="23"/>
    </i>
    <i>
      <x v="53"/>
    </i>
    <i>
      <x v="24"/>
    </i>
    <i>
      <x v="22"/>
    </i>
    <i>
      <x v="5"/>
    </i>
    <i>
      <x v="2"/>
    </i>
    <i>
      <x v="45"/>
    </i>
    <i>
      <x v="54"/>
    </i>
    <i>
      <x v="4"/>
    </i>
    <i>
      <x v="15"/>
    </i>
    <i>
      <x v="29"/>
    </i>
  </rowItems>
  <colItems count="1">
    <i/>
  </colItems>
  <dataFields count="1">
    <dataField name="Sum of CGPA" fld="16" baseField="0" baseItem="0"/>
  </dataFields>
  <chartFormats count="3">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4" indent="0" outline="1" outlineData="1" multipleFieldFilters="0" chartFormat="3">
  <location ref="A3:B8" firstHeaderRow="1" firstDataRow="1" firstDataCol="1"/>
  <pivotFields count="17">
    <pivotField showAll="0"/>
    <pivotField dataField="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numFmtId="17" showAll="0"/>
    <pivotField showAll="0"/>
    <pivotField showAll="0"/>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14"/>
  </rowFields>
  <rowItems count="5">
    <i>
      <x v="3"/>
    </i>
    <i>
      <x v="4"/>
    </i>
    <i>
      <x/>
    </i>
    <i>
      <x v="1"/>
    </i>
    <i>
      <x v="2"/>
    </i>
  </rowItems>
  <colItems count="1">
    <i/>
  </colItems>
  <dataFields count="1">
    <dataField name="Count of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00000000-0013-0000-FFFF-FFFF01000000}" sourceName="Name">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 tabId="3" name="PivotTable9"/>
    <pivotTable tabId="3" name="PivotTable10"/>
  </pivotTables>
  <data>
    <tabular pivotCacheId="1">
      <items count="62">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00000000-0014-0000-FFFF-FFFF01000000}" cache="Slicer_Name" caption="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00000000-0014-0000-FFFF-FFFF02000000}" cache="Slicer_Name" caption="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63" totalsRowShown="0">
  <autoFilter ref="A1:Q63" xr:uid="{00000000-0009-0000-0100-000001000000}"/>
  <tableColumns count="17">
    <tableColumn id="1" xr3:uid="{00000000-0010-0000-0000-000001000000}" name="Column1"/>
    <tableColumn id="2" xr3:uid="{00000000-0010-0000-0000-000002000000}" name="Name"/>
    <tableColumn id="3" xr3:uid="{00000000-0010-0000-0000-000003000000}" name="Roll No"/>
    <tableColumn id="4" xr3:uid="{00000000-0010-0000-0000-000004000000}" name="Program"/>
    <tableColumn id="5" xr3:uid="{00000000-0010-0000-0000-000005000000}" name="Branch"/>
    <tableColumn id="6" xr3:uid="{00000000-0010-0000-0000-000006000000}" name="Semester"/>
    <tableColumn id="7" xr3:uid="{00000000-0010-0000-0000-000007000000}" name="Status"/>
    <tableColumn id="8" xr3:uid="{00000000-0010-0000-0000-000008000000}" name="Session" dataDxfId="23"/>
    <tableColumn id="9" xr3:uid="{00000000-0010-0000-0000-000009000000}" name="AL401- [T]"/>
    <tableColumn id="10" xr3:uid="{00000000-0010-0000-0000-00000A000000}" name="AL402- [T]"/>
    <tableColumn id="11" xr3:uid="{00000000-0010-0000-0000-00000B000000}" name="AL403- [P]"/>
    <tableColumn id="12" xr3:uid="{00000000-0010-0000-0000-00000C000000}" name="AL404- [P]"/>
    <tableColumn id="13" xr3:uid="{00000000-0010-0000-0000-00000D000000}" name="AL405- [P]"/>
    <tableColumn id="14" xr3:uid="{00000000-0010-0000-0000-00000E000000}" name="AL406- [P]"/>
    <tableColumn id="15" xr3:uid="{00000000-0010-0000-0000-00000F000000}" name="Result Description"/>
    <tableColumn id="16" xr3:uid="{00000000-0010-0000-0000-000010000000}" name="SGPA"/>
    <tableColumn id="17" xr3:uid="{00000000-0010-0000-0000-000011000000}" name="CGPA"/>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3"/>
  <sheetViews>
    <sheetView topLeftCell="C1" workbookViewId="0">
      <selection activeCell="K66" sqref="K66"/>
    </sheetView>
  </sheetViews>
  <sheetFormatPr defaultRowHeight="14.4" x14ac:dyDescent="0.3"/>
  <cols>
    <col min="1" max="1" width="11" customWidth="1"/>
    <col min="2" max="2" width="24.5546875" bestFit="1" customWidth="1"/>
    <col min="3" max="3" width="13.33203125" bestFit="1" customWidth="1"/>
    <col min="4" max="4" width="10.5546875" customWidth="1"/>
    <col min="5" max="5" width="9.109375" customWidth="1"/>
    <col min="6" max="6" width="11.5546875" customWidth="1"/>
    <col min="8" max="8" width="9.88671875" customWidth="1"/>
    <col min="9" max="9" width="11.88671875" customWidth="1"/>
    <col min="10" max="10" width="11.77734375" bestFit="1" customWidth="1"/>
    <col min="11" max="14" width="12" customWidth="1"/>
    <col min="15" max="15" width="23.6640625" bestFit="1" customWidth="1"/>
    <col min="16" max="16" width="8" customWidth="1"/>
  </cols>
  <sheetData>
    <row r="1" spans="1:17" x14ac:dyDescent="0.3">
      <c r="A1" t="s">
        <v>156</v>
      </c>
      <c r="B1" t="s">
        <v>0</v>
      </c>
      <c r="C1" t="s">
        <v>1</v>
      </c>
      <c r="D1" t="s">
        <v>2</v>
      </c>
      <c r="E1" t="s">
        <v>3</v>
      </c>
      <c r="F1" t="s">
        <v>4</v>
      </c>
      <c r="G1" t="s">
        <v>5</v>
      </c>
      <c r="H1" t="s">
        <v>6</v>
      </c>
      <c r="I1" t="s">
        <v>7</v>
      </c>
      <c r="J1" t="s">
        <v>8</v>
      </c>
      <c r="K1" t="s">
        <v>9</v>
      </c>
      <c r="L1" t="s">
        <v>10</v>
      </c>
      <c r="M1" t="s">
        <v>11</v>
      </c>
      <c r="N1" t="s">
        <v>12</v>
      </c>
      <c r="O1" t="s">
        <v>13</v>
      </c>
      <c r="P1" t="s">
        <v>14</v>
      </c>
      <c r="Q1" t="s">
        <v>15</v>
      </c>
    </row>
    <row r="2" spans="1:17" x14ac:dyDescent="0.3">
      <c r="A2">
        <v>0</v>
      </c>
      <c r="B2" t="s">
        <v>16</v>
      </c>
      <c r="C2" t="s">
        <v>17</v>
      </c>
      <c r="D2" t="s">
        <v>18</v>
      </c>
      <c r="E2" t="s">
        <v>19</v>
      </c>
      <c r="F2">
        <v>4</v>
      </c>
      <c r="G2" t="s">
        <v>20</v>
      </c>
      <c r="H2" s="1">
        <v>45809</v>
      </c>
      <c r="I2" t="s">
        <v>21</v>
      </c>
      <c r="J2" t="s">
        <v>22</v>
      </c>
      <c r="K2" t="s">
        <v>23</v>
      </c>
      <c r="L2" t="s">
        <v>23</v>
      </c>
      <c r="M2" t="s">
        <v>23</v>
      </c>
      <c r="N2" t="s">
        <v>23</v>
      </c>
      <c r="O2" t="s">
        <v>24</v>
      </c>
      <c r="P2">
        <v>7.08</v>
      </c>
      <c r="Q2">
        <v>6.71</v>
      </c>
    </row>
    <row r="3" spans="1:17" x14ac:dyDescent="0.3">
      <c r="A3">
        <v>1</v>
      </c>
      <c r="B3" t="s">
        <v>25</v>
      </c>
      <c r="C3" t="s">
        <v>26</v>
      </c>
      <c r="D3" t="s">
        <v>18</v>
      </c>
      <c r="E3" t="s">
        <v>19</v>
      </c>
      <c r="F3">
        <v>4</v>
      </c>
      <c r="G3" t="s">
        <v>20</v>
      </c>
      <c r="H3" s="1">
        <v>45809</v>
      </c>
      <c r="I3" t="s">
        <v>22</v>
      </c>
      <c r="J3" t="s">
        <v>22</v>
      </c>
      <c r="K3" t="s">
        <v>22</v>
      </c>
      <c r="L3" t="s">
        <v>22</v>
      </c>
      <c r="M3" t="s">
        <v>22</v>
      </c>
      <c r="N3" t="s">
        <v>22</v>
      </c>
      <c r="O3" t="s">
        <v>24</v>
      </c>
      <c r="P3">
        <v>6.46</v>
      </c>
      <c r="Q3">
        <v>6.38</v>
      </c>
    </row>
    <row r="4" spans="1:17" x14ac:dyDescent="0.3">
      <c r="A4">
        <v>3</v>
      </c>
      <c r="B4" t="s">
        <v>27</v>
      </c>
      <c r="C4" t="s">
        <v>28</v>
      </c>
      <c r="D4" t="s">
        <v>18</v>
      </c>
      <c r="E4" t="s">
        <v>19</v>
      </c>
      <c r="F4">
        <v>4</v>
      </c>
      <c r="G4" t="s">
        <v>20</v>
      </c>
      <c r="H4" s="1">
        <v>45809</v>
      </c>
      <c r="I4" t="s">
        <v>29</v>
      </c>
      <c r="J4" t="s">
        <v>30</v>
      </c>
      <c r="K4" t="s">
        <v>22</v>
      </c>
      <c r="L4" t="s">
        <v>22</v>
      </c>
      <c r="M4" t="s">
        <v>22</v>
      </c>
      <c r="N4" t="s">
        <v>22</v>
      </c>
      <c r="O4" t="s">
        <v>31</v>
      </c>
      <c r="P4">
        <v>5.38</v>
      </c>
      <c r="Q4">
        <v>5.5</v>
      </c>
    </row>
    <row r="5" spans="1:17" x14ac:dyDescent="0.3">
      <c r="A5">
        <v>4</v>
      </c>
      <c r="B5" t="s">
        <v>32</v>
      </c>
      <c r="C5" t="s">
        <v>33</v>
      </c>
      <c r="D5" t="s">
        <v>18</v>
      </c>
      <c r="E5" t="s">
        <v>19</v>
      </c>
      <c r="F5">
        <v>4</v>
      </c>
      <c r="G5" t="s">
        <v>20</v>
      </c>
      <c r="H5" s="1">
        <v>45809</v>
      </c>
      <c r="I5" t="s">
        <v>30</v>
      </c>
      <c r="J5" t="s">
        <v>22</v>
      </c>
      <c r="K5" t="s">
        <v>23</v>
      </c>
      <c r="L5" t="s">
        <v>23</v>
      </c>
      <c r="M5" t="s">
        <v>23</v>
      </c>
      <c r="N5" t="s">
        <v>23</v>
      </c>
      <c r="O5" t="s">
        <v>31</v>
      </c>
      <c r="P5">
        <v>6.71</v>
      </c>
      <c r="Q5">
        <v>6.82</v>
      </c>
    </row>
    <row r="6" spans="1:17" x14ac:dyDescent="0.3">
      <c r="A6">
        <v>7</v>
      </c>
      <c r="B6" t="s">
        <v>34</v>
      </c>
      <c r="C6" t="s">
        <v>35</v>
      </c>
      <c r="D6" t="s">
        <v>18</v>
      </c>
      <c r="E6" t="s">
        <v>19</v>
      </c>
      <c r="F6">
        <v>4</v>
      </c>
      <c r="G6" t="s">
        <v>20</v>
      </c>
      <c r="H6" s="1">
        <v>45809</v>
      </c>
      <c r="I6" t="s">
        <v>36</v>
      </c>
      <c r="J6" t="s">
        <v>21</v>
      </c>
      <c r="K6" t="s">
        <v>37</v>
      </c>
      <c r="L6" t="s">
        <v>37</v>
      </c>
      <c r="M6" t="s">
        <v>37</v>
      </c>
      <c r="N6" t="s">
        <v>37</v>
      </c>
      <c r="O6" t="s">
        <v>38</v>
      </c>
      <c r="P6">
        <v>5.33</v>
      </c>
      <c r="Q6">
        <v>5.29</v>
      </c>
    </row>
    <row r="7" spans="1:17" x14ac:dyDescent="0.3">
      <c r="A7">
        <v>8</v>
      </c>
      <c r="B7" t="s">
        <v>39</v>
      </c>
      <c r="C7" t="s">
        <v>40</v>
      </c>
      <c r="D7" t="s">
        <v>18</v>
      </c>
      <c r="E7" t="s">
        <v>19</v>
      </c>
      <c r="F7">
        <v>4</v>
      </c>
      <c r="G7" t="s">
        <v>20</v>
      </c>
      <c r="H7" s="1">
        <v>45809</v>
      </c>
      <c r="I7" t="s">
        <v>36</v>
      </c>
      <c r="J7" t="s">
        <v>21</v>
      </c>
      <c r="K7" t="s">
        <v>37</v>
      </c>
      <c r="L7" t="s">
        <v>22</v>
      </c>
      <c r="M7" t="s">
        <v>37</v>
      </c>
      <c r="N7" t="s">
        <v>37</v>
      </c>
      <c r="O7" t="s">
        <v>38</v>
      </c>
      <c r="P7">
        <v>5.21</v>
      </c>
      <c r="Q7">
        <v>5.52</v>
      </c>
    </row>
    <row r="8" spans="1:17" x14ac:dyDescent="0.3">
      <c r="A8">
        <v>9</v>
      </c>
      <c r="B8" t="s">
        <v>41</v>
      </c>
      <c r="C8" t="s">
        <v>42</v>
      </c>
      <c r="D8" t="s">
        <v>18</v>
      </c>
      <c r="E8" t="s">
        <v>19</v>
      </c>
      <c r="F8">
        <v>4</v>
      </c>
      <c r="G8" t="s">
        <v>20</v>
      </c>
      <c r="H8" s="1">
        <v>45809</v>
      </c>
      <c r="I8" t="s">
        <v>21</v>
      </c>
      <c r="J8" t="s">
        <v>37</v>
      </c>
      <c r="K8" t="s">
        <v>43</v>
      </c>
      <c r="L8" t="s">
        <v>43</v>
      </c>
      <c r="M8" t="s">
        <v>43</v>
      </c>
      <c r="N8" t="s">
        <v>43</v>
      </c>
      <c r="O8" t="s">
        <v>24</v>
      </c>
      <c r="P8">
        <v>7.33</v>
      </c>
      <c r="Q8">
        <v>7.24</v>
      </c>
    </row>
    <row r="9" spans="1:17" x14ac:dyDescent="0.3">
      <c r="A9">
        <v>11</v>
      </c>
      <c r="B9" t="s">
        <v>44</v>
      </c>
      <c r="C9" t="s">
        <v>45</v>
      </c>
      <c r="D9" t="s">
        <v>18</v>
      </c>
      <c r="E9" t="s">
        <v>19</v>
      </c>
      <c r="F9">
        <v>4</v>
      </c>
      <c r="G9" t="s">
        <v>20</v>
      </c>
      <c r="H9" s="1">
        <v>45809</v>
      </c>
      <c r="I9" t="s">
        <v>30</v>
      </c>
      <c r="J9" t="s">
        <v>22</v>
      </c>
      <c r="K9" t="s">
        <v>43</v>
      </c>
      <c r="L9" t="s">
        <v>23</v>
      </c>
      <c r="M9" t="s">
        <v>43</v>
      </c>
      <c r="N9" t="s">
        <v>43</v>
      </c>
      <c r="O9" t="s">
        <v>24</v>
      </c>
      <c r="P9">
        <v>7.04</v>
      </c>
      <c r="Q9">
        <v>7.09</v>
      </c>
    </row>
    <row r="10" spans="1:17" x14ac:dyDescent="0.3">
      <c r="A10">
        <v>12</v>
      </c>
      <c r="B10" t="s">
        <v>46</v>
      </c>
      <c r="C10" t="s">
        <v>47</v>
      </c>
      <c r="D10" t="s">
        <v>18</v>
      </c>
      <c r="E10" t="s">
        <v>19</v>
      </c>
      <c r="F10">
        <v>4</v>
      </c>
      <c r="G10" t="s">
        <v>20</v>
      </c>
      <c r="H10" s="1">
        <v>45809</v>
      </c>
      <c r="I10" t="s">
        <v>30</v>
      </c>
      <c r="J10" t="s">
        <v>21</v>
      </c>
      <c r="K10" t="s">
        <v>23</v>
      </c>
      <c r="L10" t="s">
        <v>23</v>
      </c>
      <c r="M10" t="s">
        <v>23</v>
      </c>
      <c r="N10" t="s">
        <v>23</v>
      </c>
      <c r="O10" t="s">
        <v>24</v>
      </c>
      <c r="P10">
        <v>6.29</v>
      </c>
      <c r="Q10">
        <v>6.17</v>
      </c>
    </row>
    <row r="11" spans="1:17" x14ac:dyDescent="0.3">
      <c r="A11">
        <v>13</v>
      </c>
      <c r="B11" t="s">
        <v>48</v>
      </c>
      <c r="C11" t="s">
        <v>49</v>
      </c>
      <c r="D11" t="s">
        <v>18</v>
      </c>
      <c r="E11" t="s">
        <v>19</v>
      </c>
      <c r="F11">
        <v>4</v>
      </c>
      <c r="G11" t="s">
        <v>20</v>
      </c>
      <c r="H11" s="1">
        <v>45809</v>
      </c>
      <c r="I11" t="s">
        <v>21</v>
      </c>
      <c r="J11" t="s">
        <v>22</v>
      </c>
      <c r="K11" t="s">
        <v>43</v>
      </c>
      <c r="L11" t="s">
        <v>43</v>
      </c>
      <c r="M11" t="s">
        <v>43</v>
      </c>
      <c r="N11" t="s">
        <v>43</v>
      </c>
      <c r="O11" t="s">
        <v>24</v>
      </c>
      <c r="P11">
        <v>7.04</v>
      </c>
      <c r="Q11">
        <v>7.24</v>
      </c>
    </row>
    <row r="12" spans="1:17" x14ac:dyDescent="0.3">
      <c r="A12">
        <v>14</v>
      </c>
      <c r="B12" t="s">
        <v>50</v>
      </c>
      <c r="C12" t="s">
        <v>51</v>
      </c>
      <c r="D12" t="s">
        <v>18</v>
      </c>
      <c r="E12" t="s">
        <v>19</v>
      </c>
      <c r="F12">
        <v>4</v>
      </c>
      <c r="G12" t="s">
        <v>20</v>
      </c>
      <c r="H12" s="1">
        <v>45809</v>
      </c>
      <c r="I12" t="s">
        <v>22</v>
      </c>
      <c r="J12" t="s">
        <v>30</v>
      </c>
      <c r="K12" t="s">
        <v>22</v>
      </c>
      <c r="L12" t="s">
        <v>21</v>
      </c>
      <c r="M12" t="s">
        <v>22</v>
      </c>
      <c r="N12" t="s">
        <v>22</v>
      </c>
      <c r="O12" t="s">
        <v>24</v>
      </c>
      <c r="P12">
        <v>6.08</v>
      </c>
      <c r="Q12">
        <v>5.89</v>
      </c>
    </row>
    <row r="13" spans="1:17" x14ac:dyDescent="0.3">
      <c r="A13">
        <v>15</v>
      </c>
      <c r="B13" t="s">
        <v>52</v>
      </c>
      <c r="C13" t="s">
        <v>53</v>
      </c>
      <c r="D13" t="s">
        <v>18</v>
      </c>
      <c r="E13" t="s">
        <v>19</v>
      </c>
      <c r="F13">
        <v>4</v>
      </c>
      <c r="G13" t="s">
        <v>20</v>
      </c>
      <c r="H13" s="1">
        <v>45809</v>
      </c>
      <c r="I13" t="s">
        <v>30</v>
      </c>
      <c r="J13" t="s">
        <v>22</v>
      </c>
      <c r="K13" t="s">
        <v>23</v>
      </c>
      <c r="L13" t="s">
        <v>23</v>
      </c>
      <c r="M13" t="s">
        <v>23</v>
      </c>
      <c r="N13" t="s">
        <v>43</v>
      </c>
      <c r="O13" t="s">
        <v>24</v>
      </c>
      <c r="P13">
        <v>7.13</v>
      </c>
      <c r="Q13">
        <v>7.33</v>
      </c>
    </row>
    <row r="14" spans="1:17" x14ac:dyDescent="0.3">
      <c r="A14">
        <v>16</v>
      </c>
      <c r="B14" t="s">
        <v>54</v>
      </c>
      <c r="C14" t="s">
        <v>55</v>
      </c>
      <c r="D14" t="s">
        <v>18</v>
      </c>
      <c r="E14" t="s">
        <v>19</v>
      </c>
      <c r="F14">
        <v>4</v>
      </c>
      <c r="G14" t="s">
        <v>20</v>
      </c>
      <c r="H14" s="1">
        <v>45809</v>
      </c>
      <c r="I14" t="s">
        <v>21</v>
      </c>
      <c r="J14" t="s">
        <v>37</v>
      </c>
      <c r="K14" t="s">
        <v>23</v>
      </c>
      <c r="L14" t="s">
        <v>23</v>
      </c>
      <c r="M14" t="s">
        <v>23</v>
      </c>
      <c r="N14" t="s">
        <v>23</v>
      </c>
      <c r="O14" t="s">
        <v>24</v>
      </c>
      <c r="P14">
        <v>7.5</v>
      </c>
      <c r="Q14">
        <v>7.09</v>
      </c>
    </row>
    <row r="15" spans="1:17" x14ac:dyDescent="0.3">
      <c r="A15">
        <v>17</v>
      </c>
      <c r="B15" t="s">
        <v>56</v>
      </c>
      <c r="C15" t="s">
        <v>57</v>
      </c>
      <c r="D15" t="s">
        <v>18</v>
      </c>
      <c r="E15" t="s">
        <v>19</v>
      </c>
      <c r="F15">
        <v>4</v>
      </c>
      <c r="G15" t="s">
        <v>20</v>
      </c>
      <c r="H15" s="1">
        <v>45809</v>
      </c>
      <c r="I15" t="s">
        <v>21</v>
      </c>
      <c r="J15" t="s">
        <v>22</v>
      </c>
      <c r="K15" t="s">
        <v>43</v>
      </c>
      <c r="L15" t="s">
        <v>23</v>
      </c>
      <c r="M15" t="s">
        <v>23</v>
      </c>
      <c r="N15" t="s">
        <v>23</v>
      </c>
      <c r="O15" t="s">
        <v>24</v>
      </c>
      <c r="P15">
        <v>7.08</v>
      </c>
      <c r="Q15">
        <v>7.12</v>
      </c>
    </row>
    <row r="16" spans="1:17" x14ac:dyDescent="0.3">
      <c r="A16">
        <v>18</v>
      </c>
      <c r="B16" t="s">
        <v>58</v>
      </c>
      <c r="C16" t="s">
        <v>59</v>
      </c>
      <c r="D16" t="s">
        <v>18</v>
      </c>
      <c r="E16" t="s">
        <v>19</v>
      </c>
      <c r="F16">
        <v>4</v>
      </c>
      <c r="G16" t="s">
        <v>20</v>
      </c>
      <c r="H16" s="1">
        <v>45809</v>
      </c>
      <c r="I16" t="s">
        <v>21</v>
      </c>
      <c r="J16" t="s">
        <v>22</v>
      </c>
      <c r="K16" t="s">
        <v>43</v>
      </c>
      <c r="L16" t="s">
        <v>23</v>
      </c>
      <c r="M16" t="s">
        <v>23</v>
      </c>
      <c r="N16" t="s">
        <v>43</v>
      </c>
      <c r="O16" t="s">
        <v>24</v>
      </c>
      <c r="P16">
        <v>7.04</v>
      </c>
      <c r="Q16">
        <v>7.05</v>
      </c>
    </row>
    <row r="17" spans="1:17" x14ac:dyDescent="0.3">
      <c r="A17">
        <v>19</v>
      </c>
      <c r="B17" t="s">
        <v>60</v>
      </c>
      <c r="C17" t="s">
        <v>61</v>
      </c>
      <c r="D17" t="s">
        <v>18</v>
      </c>
      <c r="E17" t="s">
        <v>19</v>
      </c>
      <c r="F17">
        <v>4</v>
      </c>
      <c r="G17" t="s">
        <v>20</v>
      </c>
      <c r="H17" s="1">
        <v>45809</v>
      </c>
      <c r="I17" t="s">
        <v>36</v>
      </c>
      <c r="J17" t="s">
        <v>36</v>
      </c>
      <c r="K17" t="s">
        <v>23</v>
      </c>
      <c r="L17" t="s">
        <v>37</v>
      </c>
      <c r="M17" t="s">
        <v>23</v>
      </c>
      <c r="N17" t="s">
        <v>37</v>
      </c>
      <c r="O17" t="s">
        <v>62</v>
      </c>
      <c r="P17">
        <v>3.54</v>
      </c>
      <c r="Q17">
        <v>4.66</v>
      </c>
    </row>
    <row r="18" spans="1:17" x14ac:dyDescent="0.3">
      <c r="A18">
        <v>20</v>
      </c>
      <c r="B18" t="s">
        <v>63</v>
      </c>
      <c r="C18" t="s">
        <v>64</v>
      </c>
      <c r="D18" t="s">
        <v>18</v>
      </c>
      <c r="E18" t="s">
        <v>19</v>
      </c>
      <c r="F18">
        <v>4</v>
      </c>
      <c r="G18" t="s">
        <v>20</v>
      </c>
      <c r="H18" s="1">
        <v>45809</v>
      </c>
      <c r="I18" t="s">
        <v>21</v>
      </c>
      <c r="J18" t="s">
        <v>22</v>
      </c>
      <c r="K18" t="s">
        <v>23</v>
      </c>
      <c r="L18" t="s">
        <v>23</v>
      </c>
      <c r="M18" t="s">
        <v>37</v>
      </c>
      <c r="N18" t="s">
        <v>23</v>
      </c>
      <c r="O18" t="s">
        <v>24</v>
      </c>
      <c r="P18">
        <v>7.13</v>
      </c>
      <c r="Q18">
        <v>6.81</v>
      </c>
    </row>
    <row r="19" spans="1:17" x14ac:dyDescent="0.3">
      <c r="A19">
        <v>21</v>
      </c>
      <c r="B19" t="s">
        <v>65</v>
      </c>
      <c r="C19" t="s">
        <v>66</v>
      </c>
      <c r="D19" t="s">
        <v>18</v>
      </c>
      <c r="E19" t="s">
        <v>19</v>
      </c>
      <c r="F19">
        <v>4</v>
      </c>
      <c r="G19" t="s">
        <v>20</v>
      </c>
      <c r="H19" s="1">
        <v>45809</v>
      </c>
      <c r="I19" t="s">
        <v>30</v>
      </c>
      <c r="J19" t="s">
        <v>22</v>
      </c>
      <c r="K19" t="s">
        <v>37</v>
      </c>
      <c r="L19" t="s">
        <v>37</v>
      </c>
      <c r="M19" t="s">
        <v>37</v>
      </c>
      <c r="N19" t="s">
        <v>37</v>
      </c>
      <c r="O19" t="s">
        <v>24</v>
      </c>
      <c r="P19">
        <v>6.38</v>
      </c>
      <c r="Q19">
        <v>6.11</v>
      </c>
    </row>
    <row r="20" spans="1:17" x14ac:dyDescent="0.3">
      <c r="A20">
        <v>23</v>
      </c>
      <c r="B20" t="s">
        <v>67</v>
      </c>
      <c r="C20" t="s">
        <v>68</v>
      </c>
      <c r="D20" t="s">
        <v>18</v>
      </c>
      <c r="E20" t="s">
        <v>19</v>
      </c>
      <c r="F20">
        <v>4</v>
      </c>
      <c r="G20" t="s">
        <v>20</v>
      </c>
      <c r="H20" s="1">
        <v>45809</v>
      </c>
      <c r="I20" t="s">
        <v>22</v>
      </c>
      <c r="J20" t="s">
        <v>22</v>
      </c>
      <c r="K20" t="s">
        <v>23</v>
      </c>
      <c r="L20" t="s">
        <v>37</v>
      </c>
      <c r="M20" t="s">
        <v>23</v>
      </c>
      <c r="N20" t="s">
        <v>23</v>
      </c>
      <c r="O20" t="s">
        <v>24</v>
      </c>
      <c r="P20">
        <v>6.92</v>
      </c>
      <c r="Q20">
        <v>6.49</v>
      </c>
    </row>
    <row r="21" spans="1:17" x14ac:dyDescent="0.3">
      <c r="A21">
        <v>24</v>
      </c>
      <c r="B21" t="s">
        <v>69</v>
      </c>
      <c r="C21" t="s">
        <v>70</v>
      </c>
      <c r="D21" t="s">
        <v>18</v>
      </c>
      <c r="E21" t="s">
        <v>19</v>
      </c>
      <c r="F21">
        <v>4</v>
      </c>
      <c r="G21" t="s">
        <v>20</v>
      </c>
      <c r="H21" s="1">
        <v>45809</v>
      </c>
      <c r="I21" t="s">
        <v>21</v>
      </c>
      <c r="J21" t="s">
        <v>22</v>
      </c>
      <c r="K21" t="s">
        <v>23</v>
      </c>
      <c r="L21" t="s">
        <v>23</v>
      </c>
      <c r="M21" t="s">
        <v>23</v>
      </c>
      <c r="N21" t="s">
        <v>23</v>
      </c>
      <c r="O21" t="s">
        <v>24</v>
      </c>
      <c r="P21">
        <v>7.21</v>
      </c>
      <c r="Q21">
        <v>6.72</v>
      </c>
    </row>
    <row r="22" spans="1:17" x14ac:dyDescent="0.3">
      <c r="A22">
        <v>26</v>
      </c>
      <c r="B22" t="s">
        <v>71</v>
      </c>
      <c r="C22" t="s">
        <v>72</v>
      </c>
      <c r="D22" t="s">
        <v>18</v>
      </c>
      <c r="E22" t="s">
        <v>19</v>
      </c>
      <c r="F22">
        <v>4</v>
      </c>
      <c r="G22" t="s">
        <v>20</v>
      </c>
      <c r="H22" s="1">
        <v>45809</v>
      </c>
      <c r="I22" t="s">
        <v>21</v>
      </c>
      <c r="J22" t="s">
        <v>22</v>
      </c>
      <c r="K22" t="s">
        <v>23</v>
      </c>
      <c r="L22" t="s">
        <v>23</v>
      </c>
      <c r="M22" t="s">
        <v>23</v>
      </c>
      <c r="N22" t="s">
        <v>23</v>
      </c>
      <c r="O22" t="s">
        <v>24</v>
      </c>
      <c r="P22">
        <v>6.92</v>
      </c>
      <c r="Q22">
        <v>6.62</v>
      </c>
    </row>
    <row r="23" spans="1:17" x14ac:dyDescent="0.3">
      <c r="A23">
        <v>27</v>
      </c>
      <c r="B23" t="s">
        <v>73</v>
      </c>
      <c r="C23" t="s">
        <v>74</v>
      </c>
      <c r="D23" t="s">
        <v>18</v>
      </c>
      <c r="E23" t="s">
        <v>19</v>
      </c>
      <c r="F23">
        <v>4</v>
      </c>
      <c r="G23" t="s">
        <v>20</v>
      </c>
      <c r="H23" s="1">
        <v>45809</v>
      </c>
      <c r="I23" t="s">
        <v>21</v>
      </c>
      <c r="J23" t="s">
        <v>22</v>
      </c>
      <c r="K23" t="s">
        <v>23</v>
      </c>
      <c r="L23" t="s">
        <v>37</v>
      </c>
      <c r="M23" t="s">
        <v>23</v>
      </c>
      <c r="N23" t="s">
        <v>23</v>
      </c>
      <c r="O23" t="s">
        <v>24</v>
      </c>
      <c r="P23">
        <v>6.75</v>
      </c>
      <c r="Q23">
        <v>6.81</v>
      </c>
    </row>
    <row r="24" spans="1:17" x14ac:dyDescent="0.3">
      <c r="A24">
        <v>28</v>
      </c>
      <c r="B24" t="s">
        <v>75</v>
      </c>
      <c r="C24" t="s">
        <v>76</v>
      </c>
      <c r="D24" t="s">
        <v>18</v>
      </c>
      <c r="E24" t="s">
        <v>19</v>
      </c>
      <c r="F24">
        <v>4</v>
      </c>
      <c r="G24" t="s">
        <v>20</v>
      </c>
      <c r="H24" s="1">
        <v>45809</v>
      </c>
      <c r="I24" t="s">
        <v>30</v>
      </c>
      <c r="J24" t="s">
        <v>29</v>
      </c>
      <c r="K24" t="s">
        <v>23</v>
      </c>
      <c r="L24" t="s">
        <v>37</v>
      </c>
      <c r="M24" t="s">
        <v>23</v>
      </c>
      <c r="N24" t="s">
        <v>37</v>
      </c>
      <c r="O24" t="s">
        <v>31</v>
      </c>
      <c r="P24">
        <v>6</v>
      </c>
      <c r="Q24">
        <v>5.54</v>
      </c>
    </row>
    <row r="25" spans="1:17" x14ac:dyDescent="0.3">
      <c r="A25">
        <v>29</v>
      </c>
      <c r="B25" t="s">
        <v>77</v>
      </c>
      <c r="C25" t="s">
        <v>78</v>
      </c>
      <c r="D25" t="s">
        <v>18</v>
      </c>
      <c r="E25" t="s">
        <v>19</v>
      </c>
      <c r="F25">
        <v>4</v>
      </c>
      <c r="G25" t="s">
        <v>20</v>
      </c>
      <c r="H25" s="1">
        <v>45809</v>
      </c>
      <c r="I25" t="s">
        <v>36</v>
      </c>
      <c r="J25" t="s">
        <v>29</v>
      </c>
      <c r="K25" t="s">
        <v>37</v>
      </c>
      <c r="L25" t="s">
        <v>37</v>
      </c>
      <c r="M25" t="s">
        <v>23</v>
      </c>
      <c r="N25" t="s">
        <v>23</v>
      </c>
      <c r="O25" t="s">
        <v>38</v>
      </c>
      <c r="P25">
        <v>4.92</v>
      </c>
      <c r="Q25">
        <v>5.71</v>
      </c>
    </row>
    <row r="26" spans="1:17" x14ac:dyDescent="0.3">
      <c r="A26">
        <v>30</v>
      </c>
      <c r="B26" t="s">
        <v>79</v>
      </c>
      <c r="C26" t="s">
        <v>80</v>
      </c>
      <c r="D26" t="s">
        <v>18</v>
      </c>
      <c r="E26" t="s">
        <v>19</v>
      </c>
      <c r="F26">
        <v>4</v>
      </c>
      <c r="G26" t="s">
        <v>20</v>
      </c>
      <c r="H26" s="1">
        <v>45809</v>
      </c>
      <c r="I26" t="s">
        <v>36</v>
      </c>
      <c r="J26" t="s">
        <v>29</v>
      </c>
      <c r="K26" t="s">
        <v>37</v>
      </c>
      <c r="L26" t="s">
        <v>37</v>
      </c>
      <c r="M26" t="s">
        <v>23</v>
      </c>
      <c r="N26" t="s">
        <v>23</v>
      </c>
      <c r="O26" t="s">
        <v>38</v>
      </c>
      <c r="P26">
        <v>5.04</v>
      </c>
      <c r="Q26">
        <v>5.58</v>
      </c>
    </row>
    <row r="27" spans="1:17" x14ac:dyDescent="0.3">
      <c r="A27">
        <v>31</v>
      </c>
      <c r="B27" t="s">
        <v>81</v>
      </c>
      <c r="C27" t="s">
        <v>82</v>
      </c>
      <c r="D27" t="s">
        <v>18</v>
      </c>
      <c r="E27" t="s">
        <v>19</v>
      </c>
      <c r="F27">
        <v>4</v>
      </c>
      <c r="G27" t="s">
        <v>20</v>
      </c>
      <c r="H27" s="1">
        <v>45809</v>
      </c>
      <c r="I27" t="s">
        <v>22</v>
      </c>
      <c r="J27" t="s">
        <v>22</v>
      </c>
      <c r="K27" t="s">
        <v>43</v>
      </c>
      <c r="L27" t="s">
        <v>43</v>
      </c>
      <c r="M27" t="s">
        <v>43</v>
      </c>
      <c r="N27" t="s">
        <v>43</v>
      </c>
      <c r="O27" t="s">
        <v>24</v>
      </c>
      <c r="P27">
        <v>7.79</v>
      </c>
      <c r="Q27">
        <v>7.76</v>
      </c>
    </row>
    <row r="28" spans="1:17" x14ac:dyDescent="0.3">
      <c r="A28">
        <v>32</v>
      </c>
      <c r="B28" t="s">
        <v>83</v>
      </c>
      <c r="C28" t="s">
        <v>84</v>
      </c>
      <c r="D28" t="s">
        <v>18</v>
      </c>
      <c r="E28" t="s">
        <v>19</v>
      </c>
      <c r="F28">
        <v>4</v>
      </c>
      <c r="G28" t="s">
        <v>20</v>
      </c>
      <c r="H28" s="1">
        <v>45809</v>
      </c>
      <c r="I28" t="s">
        <v>22</v>
      </c>
      <c r="J28" t="s">
        <v>37</v>
      </c>
      <c r="K28" t="s">
        <v>43</v>
      </c>
      <c r="L28" t="s">
        <v>43</v>
      </c>
      <c r="M28" t="s">
        <v>43</v>
      </c>
      <c r="N28" t="s">
        <v>43</v>
      </c>
      <c r="O28" t="s">
        <v>24</v>
      </c>
      <c r="P28">
        <v>8.0399999999999991</v>
      </c>
      <c r="Q28">
        <v>8.02</v>
      </c>
    </row>
    <row r="29" spans="1:17" x14ac:dyDescent="0.3">
      <c r="A29">
        <v>33</v>
      </c>
      <c r="B29" t="s">
        <v>85</v>
      </c>
      <c r="C29" t="s">
        <v>86</v>
      </c>
      <c r="D29" t="s">
        <v>18</v>
      </c>
      <c r="E29" t="s">
        <v>19</v>
      </c>
      <c r="F29">
        <v>4</v>
      </c>
      <c r="G29" t="s">
        <v>20</v>
      </c>
      <c r="H29" s="1">
        <v>45809</v>
      </c>
      <c r="I29" t="s">
        <v>30</v>
      </c>
      <c r="J29" t="s">
        <v>30</v>
      </c>
      <c r="K29" t="s">
        <v>23</v>
      </c>
      <c r="L29" t="s">
        <v>23</v>
      </c>
      <c r="M29" t="s">
        <v>23</v>
      </c>
      <c r="N29" t="s">
        <v>23</v>
      </c>
      <c r="O29" t="s">
        <v>24</v>
      </c>
      <c r="P29">
        <v>6.42</v>
      </c>
      <c r="Q29">
        <v>6.39</v>
      </c>
    </row>
    <row r="30" spans="1:17" x14ac:dyDescent="0.3">
      <c r="A30">
        <v>34</v>
      </c>
      <c r="B30" t="s">
        <v>87</v>
      </c>
      <c r="C30" t="s">
        <v>88</v>
      </c>
      <c r="D30" t="s">
        <v>18</v>
      </c>
      <c r="E30" t="s">
        <v>19</v>
      </c>
      <c r="F30">
        <v>4</v>
      </c>
      <c r="G30" t="s">
        <v>20</v>
      </c>
      <c r="H30" s="1">
        <v>45809</v>
      </c>
      <c r="I30" t="s">
        <v>30</v>
      </c>
      <c r="J30" t="s">
        <v>30</v>
      </c>
      <c r="K30" t="s">
        <v>37</v>
      </c>
      <c r="L30" t="s">
        <v>37</v>
      </c>
      <c r="M30" t="s">
        <v>23</v>
      </c>
      <c r="N30" t="s">
        <v>23</v>
      </c>
      <c r="O30" t="s">
        <v>31</v>
      </c>
      <c r="P30">
        <v>6.38</v>
      </c>
      <c r="Q30">
        <v>6.72</v>
      </c>
    </row>
    <row r="31" spans="1:17" x14ac:dyDescent="0.3">
      <c r="A31">
        <v>35</v>
      </c>
      <c r="B31" t="s">
        <v>89</v>
      </c>
      <c r="C31" t="s">
        <v>90</v>
      </c>
      <c r="D31" t="s">
        <v>18</v>
      </c>
      <c r="E31" t="s">
        <v>19</v>
      </c>
      <c r="F31">
        <v>4</v>
      </c>
      <c r="G31" t="s">
        <v>20</v>
      </c>
      <c r="H31" s="1">
        <v>45809</v>
      </c>
      <c r="I31" t="s">
        <v>36</v>
      </c>
      <c r="J31" t="s">
        <v>36</v>
      </c>
      <c r="K31" t="s">
        <v>22</v>
      </c>
      <c r="L31" t="s">
        <v>21</v>
      </c>
      <c r="M31" t="s">
        <v>37</v>
      </c>
      <c r="N31" t="s">
        <v>22</v>
      </c>
      <c r="O31" t="s">
        <v>62</v>
      </c>
      <c r="P31">
        <v>3.08</v>
      </c>
      <c r="Q31">
        <v>3.57</v>
      </c>
    </row>
    <row r="32" spans="1:17" x14ac:dyDescent="0.3">
      <c r="A32">
        <v>37</v>
      </c>
      <c r="B32" t="s">
        <v>91</v>
      </c>
      <c r="C32" t="s">
        <v>92</v>
      </c>
      <c r="D32" t="s">
        <v>18</v>
      </c>
      <c r="E32" t="s">
        <v>19</v>
      </c>
      <c r="F32">
        <v>4</v>
      </c>
      <c r="G32" t="s">
        <v>20</v>
      </c>
      <c r="H32" s="1">
        <v>45809</v>
      </c>
      <c r="I32" t="s">
        <v>30</v>
      </c>
      <c r="J32" t="s">
        <v>29</v>
      </c>
      <c r="K32" t="s">
        <v>22</v>
      </c>
      <c r="L32" t="s">
        <v>22</v>
      </c>
      <c r="M32" t="s">
        <v>22</v>
      </c>
      <c r="N32" t="s">
        <v>22</v>
      </c>
      <c r="O32" t="s">
        <v>24</v>
      </c>
      <c r="P32">
        <v>5.42</v>
      </c>
      <c r="Q32">
        <v>5.74</v>
      </c>
    </row>
    <row r="33" spans="1:17" x14ac:dyDescent="0.3">
      <c r="A33">
        <v>39</v>
      </c>
      <c r="B33" t="s">
        <v>93</v>
      </c>
      <c r="C33" t="s">
        <v>94</v>
      </c>
      <c r="D33" t="s">
        <v>18</v>
      </c>
      <c r="E33" t="s">
        <v>19</v>
      </c>
      <c r="F33">
        <v>4</v>
      </c>
      <c r="G33" t="s">
        <v>20</v>
      </c>
      <c r="H33" s="1">
        <v>45809</v>
      </c>
      <c r="I33" t="s">
        <v>22</v>
      </c>
      <c r="J33" t="s">
        <v>22</v>
      </c>
      <c r="K33" t="s">
        <v>43</v>
      </c>
      <c r="L33" t="s">
        <v>43</v>
      </c>
      <c r="M33" t="s">
        <v>43</v>
      </c>
      <c r="N33" t="s">
        <v>43</v>
      </c>
      <c r="O33" t="s">
        <v>24</v>
      </c>
      <c r="P33">
        <v>7.92</v>
      </c>
      <c r="Q33">
        <v>7.27</v>
      </c>
    </row>
    <row r="34" spans="1:17" x14ac:dyDescent="0.3">
      <c r="A34">
        <v>40</v>
      </c>
      <c r="B34" t="s">
        <v>95</v>
      </c>
      <c r="C34" t="s">
        <v>96</v>
      </c>
      <c r="D34" t="s">
        <v>18</v>
      </c>
      <c r="E34" t="s">
        <v>19</v>
      </c>
      <c r="F34">
        <v>4</v>
      </c>
      <c r="G34" t="s">
        <v>20</v>
      </c>
      <c r="H34" s="1">
        <v>45809</v>
      </c>
      <c r="I34" t="s">
        <v>22</v>
      </c>
      <c r="J34" t="s">
        <v>22</v>
      </c>
      <c r="K34" t="s">
        <v>43</v>
      </c>
      <c r="L34" t="s">
        <v>43</v>
      </c>
      <c r="M34" t="s">
        <v>43</v>
      </c>
      <c r="N34" t="s">
        <v>43</v>
      </c>
      <c r="O34" t="s">
        <v>24</v>
      </c>
      <c r="P34">
        <v>7.75</v>
      </c>
      <c r="Q34">
        <v>8.01</v>
      </c>
    </row>
    <row r="35" spans="1:17" x14ac:dyDescent="0.3">
      <c r="A35">
        <v>41</v>
      </c>
      <c r="B35" t="s">
        <v>97</v>
      </c>
      <c r="C35" t="s">
        <v>98</v>
      </c>
      <c r="D35" t="s">
        <v>18</v>
      </c>
      <c r="E35" t="s">
        <v>19</v>
      </c>
      <c r="F35">
        <v>4</v>
      </c>
      <c r="G35" t="s">
        <v>20</v>
      </c>
      <c r="H35" s="1">
        <v>45809</v>
      </c>
      <c r="I35" t="s">
        <v>21</v>
      </c>
      <c r="J35" t="s">
        <v>30</v>
      </c>
      <c r="K35" t="s">
        <v>23</v>
      </c>
      <c r="L35" t="s">
        <v>43</v>
      </c>
      <c r="M35" t="s">
        <v>23</v>
      </c>
      <c r="N35" t="s">
        <v>43</v>
      </c>
      <c r="O35" t="s">
        <v>99</v>
      </c>
      <c r="P35">
        <v>6.25</v>
      </c>
      <c r="Q35">
        <v>6.18</v>
      </c>
    </row>
    <row r="36" spans="1:17" x14ac:dyDescent="0.3">
      <c r="A36">
        <v>42</v>
      </c>
      <c r="B36" t="s">
        <v>100</v>
      </c>
      <c r="C36" t="s">
        <v>101</v>
      </c>
      <c r="D36" t="s">
        <v>18</v>
      </c>
      <c r="E36" t="s">
        <v>19</v>
      </c>
      <c r="F36">
        <v>4</v>
      </c>
      <c r="G36" t="s">
        <v>20</v>
      </c>
      <c r="H36" s="1">
        <v>45809</v>
      </c>
      <c r="I36" t="s">
        <v>22</v>
      </c>
      <c r="J36" t="s">
        <v>21</v>
      </c>
      <c r="K36" t="s">
        <v>43</v>
      </c>
      <c r="L36" t="s">
        <v>23</v>
      </c>
      <c r="M36" t="s">
        <v>23</v>
      </c>
      <c r="N36" t="s">
        <v>43</v>
      </c>
      <c r="O36" t="s">
        <v>24</v>
      </c>
      <c r="P36">
        <v>7.42</v>
      </c>
      <c r="Q36">
        <v>7.5</v>
      </c>
    </row>
    <row r="37" spans="1:17" x14ac:dyDescent="0.3">
      <c r="A37">
        <v>44</v>
      </c>
      <c r="B37" t="s">
        <v>102</v>
      </c>
      <c r="C37" t="s">
        <v>103</v>
      </c>
      <c r="D37" t="s">
        <v>18</v>
      </c>
      <c r="E37" t="s">
        <v>19</v>
      </c>
      <c r="F37">
        <v>4</v>
      </c>
      <c r="G37" t="s">
        <v>20</v>
      </c>
      <c r="H37" s="1">
        <v>45809</v>
      </c>
      <c r="I37" t="s">
        <v>22</v>
      </c>
      <c r="J37" t="s">
        <v>21</v>
      </c>
      <c r="K37" t="s">
        <v>23</v>
      </c>
      <c r="L37" t="s">
        <v>43</v>
      </c>
      <c r="M37" t="s">
        <v>43</v>
      </c>
      <c r="N37" t="s">
        <v>43</v>
      </c>
      <c r="O37" t="s">
        <v>24</v>
      </c>
      <c r="P37">
        <v>7.42</v>
      </c>
      <c r="Q37">
        <v>7.43</v>
      </c>
    </row>
    <row r="38" spans="1:17" x14ac:dyDescent="0.3">
      <c r="A38">
        <v>45</v>
      </c>
      <c r="B38" t="s">
        <v>104</v>
      </c>
      <c r="C38" t="s">
        <v>105</v>
      </c>
      <c r="D38" t="s">
        <v>18</v>
      </c>
      <c r="E38" t="s">
        <v>19</v>
      </c>
      <c r="F38">
        <v>4</v>
      </c>
      <c r="G38" t="s">
        <v>20</v>
      </c>
      <c r="H38" s="1">
        <v>45809</v>
      </c>
      <c r="I38" t="s">
        <v>22</v>
      </c>
      <c r="J38" t="s">
        <v>22</v>
      </c>
      <c r="K38" t="s">
        <v>43</v>
      </c>
      <c r="L38" t="s">
        <v>43</v>
      </c>
      <c r="M38" t="s">
        <v>43</v>
      </c>
      <c r="N38" t="s">
        <v>43</v>
      </c>
      <c r="O38" t="s">
        <v>24</v>
      </c>
      <c r="P38">
        <v>7.58</v>
      </c>
      <c r="Q38">
        <v>7.27</v>
      </c>
    </row>
    <row r="39" spans="1:17" x14ac:dyDescent="0.3">
      <c r="A39">
        <v>46</v>
      </c>
      <c r="B39" t="s">
        <v>106</v>
      </c>
      <c r="C39" t="s">
        <v>107</v>
      </c>
      <c r="D39" t="s">
        <v>18</v>
      </c>
      <c r="E39" t="s">
        <v>19</v>
      </c>
      <c r="F39">
        <v>4</v>
      </c>
      <c r="G39" t="s">
        <v>20</v>
      </c>
      <c r="H39" s="1">
        <v>45809</v>
      </c>
      <c r="I39" t="s">
        <v>21</v>
      </c>
      <c r="J39" t="s">
        <v>21</v>
      </c>
      <c r="K39" t="s">
        <v>23</v>
      </c>
      <c r="L39" t="s">
        <v>23</v>
      </c>
      <c r="M39" t="s">
        <v>23</v>
      </c>
      <c r="N39" t="s">
        <v>43</v>
      </c>
      <c r="O39" t="s">
        <v>24</v>
      </c>
      <c r="P39">
        <v>6.83</v>
      </c>
      <c r="Q39">
        <v>6.82</v>
      </c>
    </row>
    <row r="40" spans="1:17" x14ac:dyDescent="0.3">
      <c r="A40">
        <v>47</v>
      </c>
      <c r="B40" t="s">
        <v>108</v>
      </c>
      <c r="C40" t="s">
        <v>109</v>
      </c>
      <c r="D40" t="s">
        <v>18</v>
      </c>
      <c r="E40" t="s">
        <v>19</v>
      </c>
      <c r="F40">
        <v>4</v>
      </c>
      <c r="G40" t="s">
        <v>20</v>
      </c>
      <c r="H40" s="1">
        <v>45809</v>
      </c>
      <c r="I40" t="s">
        <v>22</v>
      </c>
      <c r="J40" t="s">
        <v>22</v>
      </c>
      <c r="K40" t="s">
        <v>43</v>
      </c>
      <c r="L40" t="s">
        <v>43</v>
      </c>
      <c r="M40" t="s">
        <v>43</v>
      </c>
      <c r="N40" t="s">
        <v>43</v>
      </c>
      <c r="O40" t="s">
        <v>24</v>
      </c>
      <c r="P40">
        <v>8</v>
      </c>
      <c r="Q40">
        <v>7.9</v>
      </c>
    </row>
    <row r="41" spans="1:17" x14ac:dyDescent="0.3">
      <c r="A41">
        <v>51</v>
      </c>
      <c r="B41" t="s">
        <v>110</v>
      </c>
      <c r="C41" t="s">
        <v>111</v>
      </c>
      <c r="D41" t="s">
        <v>18</v>
      </c>
      <c r="E41" t="s">
        <v>19</v>
      </c>
      <c r="F41">
        <v>4</v>
      </c>
      <c r="G41" t="s">
        <v>20</v>
      </c>
      <c r="H41" s="1">
        <v>45809</v>
      </c>
      <c r="I41" t="s">
        <v>37</v>
      </c>
      <c r="J41" t="s">
        <v>22</v>
      </c>
      <c r="K41" t="s">
        <v>43</v>
      </c>
      <c r="L41" t="s">
        <v>43</v>
      </c>
      <c r="M41" t="s">
        <v>43</v>
      </c>
      <c r="N41" t="s">
        <v>43</v>
      </c>
      <c r="O41" t="s">
        <v>24</v>
      </c>
      <c r="P41">
        <v>8.25</v>
      </c>
      <c r="Q41">
        <v>8.07</v>
      </c>
    </row>
    <row r="42" spans="1:17" x14ac:dyDescent="0.3">
      <c r="A42">
        <v>52</v>
      </c>
      <c r="B42" t="s">
        <v>112</v>
      </c>
      <c r="C42" t="s">
        <v>113</v>
      </c>
      <c r="D42" t="s">
        <v>18</v>
      </c>
      <c r="E42" t="s">
        <v>19</v>
      </c>
      <c r="F42">
        <v>4</v>
      </c>
      <c r="G42" t="s">
        <v>20</v>
      </c>
      <c r="H42" s="1">
        <v>45809</v>
      </c>
      <c r="I42" t="s">
        <v>30</v>
      </c>
      <c r="J42" t="s">
        <v>29</v>
      </c>
      <c r="K42" t="s">
        <v>37</v>
      </c>
      <c r="L42" t="s">
        <v>37</v>
      </c>
      <c r="M42" t="s">
        <v>37</v>
      </c>
      <c r="N42" t="s">
        <v>23</v>
      </c>
      <c r="O42" t="s">
        <v>24</v>
      </c>
      <c r="P42">
        <v>5.96</v>
      </c>
      <c r="Q42">
        <v>6.17</v>
      </c>
    </row>
    <row r="43" spans="1:17" x14ac:dyDescent="0.3">
      <c r="A43">
        <v>53</v>
      </c>
      <c r="B43" t="s">
        <v>114</v>
      </c>
      <c r="C43" t="s">
        <v>115</v>
      </c>
      <c r="D43" t="s">
        <v>18</v>
      </c>
      <c r="E43" t="s">
        <v>19</v>
      </c>
      <c r="F43">
        <v>4</v>
      </c>
      <c r="G43" t="s">
        <v>20</v>
      </c>
      <c r="H43" s="1">
        <v>45809</v>
      </c>
      <c r="I43" t="s">
        <v>22</v>
      </c>
      <c r="J43" t="s">
        <v>21</v>
      </c>
      <c r="K43" t="s">
        <v>23</v>
      </c>
      <c r="L43" t="s">
        <v>23</v>
      </c>
      <c r="M43" t="s">
        <v>23</v>
      </c>
      <c r="N43" t="s">
        <v>23</v>
      </c>
      <c r="O43" t="s">
        <v>24</v>
      </c>
      <c r="P43">
        <v>7.33</v>
      </c>
      <c r="Q43">
        <v>6.7</v>
      </c>
    </row>
    <row r="44" spans="1:17" x14ac:dyDescent="0.3">
      <c r="A44">
        <v>54</v>
      </c>
      <c r="B44" t="s">
        <v>116</v>
      </c>
      <c r="C44" t="s">
        <v>117</v>
      </c>
      <c r="D44" t="s">
        <v>18</v>
      </c>
      <c r="E44" t="s">
        <v>19</v>
      </c>
      <c r="F44">
        <v>4</v>
      </c>
      <c r="G44" t="s">
        <v>20</v>
      </c>
      <c r="H44" s="1">
        <v>45809</v>
      </c>
      <c r="I44" t="s">
        <v>22</v>
      </c>
      <c r="J44" t="s">
        <v>30</v>
      </c>
      <c r="K44" t="s">
        <v>22</v>
      </c>
      <c r="L44" t="s">
        <v>21</v>
      </c>
      <c r="M44" t="s">
        <v>37</v>
      </c>
      <c r="N44" t="s">
        <v>22</v>
      </c>
      <c r="O44" t="s">
        <v>24</v>
      </c>
      <c r="P44">
        <v>6.25</v>
      </c>
      <c r="Q44">
        <v>6.04</v>
      </c>
    </row>
    <row r="45" spans="1:17" x14ac:dyDescent="0.3">
      <c r="A45">
        <v>55</v>
      </c>
      <c r="B45" t="s">
        <v>118</v>
      </c>
      <c r="C45" t="s">
        <v>119</v>
      </c>
      <c r="D45" t="s">
        <v>18</v>
      </c>
      <c r="E45" t="s">
        <v>19</v>
      </c>
      <c r="F45">
        <v>4</v>
      </c>
      <c r="G45" t="s">
        <v>20</v>
      </c>
      <c r="H45" s="1">
        <v>45809</v>
      </c>
      <c r="I45" t="s">
        <v>22</v>
      </c>
      <c r="J45" t="s">
        <v>30</v>
      </c>
      <c r="K45" t="s">
        <v>37</v>
      </c>
      <c r="L45" t="s">
        <v>37</v>
      </c>
      <c r="M45" t="s">
        <v>37</v>
      </c>
      <c r="N45" t="s">
        <v>37</v>
      </c>
      <c r="O45" t="s">
        <v>24</v>
      </c>
      <c r="P45">
        <v>6.46</v>
      </c>
      <c r="Q45">
        <v>7.01</v>
      </c>
    </row>
    <row r="46" spans="1:17" x14ac:dyDescent="0.3">
      <c r="A46">
        <v>57</v>
      </c>
      <c r="B46" t="s">
        <v>120</v>
      </c>
      <c r="C46" t="s">
        <v>121</v>
      </c>
      <c r="D46" t="s">
        <v>18</v>
      </c>
      <c r="E46" t="s">
        <v>19</v>
      </c>
      <c r="F46">
        <v>4</v>
      </c>
      <c r="G46" t="s">
        <v>20</v>
      </c>
      <c r="H46" s="1">
        <v>45809</v>
      </c>
      <c r="I46" t="s">
        <v>29</v>
      </c>
      <c r="J46" t="s">
        <v>29</v>
      </c>
      <c r="K46" t="s">
        <v>22</v>
      </c>
      <c r="L46" t="s">
        <v>37</v>
      </c>
      <c r="M46" t="s">
        <v>37</v>
      </c>
      <c r="N46" t="s">
        <v>22</v>
      </c>
      <c r="O46" t="s">
        <v>31</v>
      </c>
      <c r="P46">
        <v>5.33</v>
      </c>
      <c r="Q46">
        <v>6.02</v>
      </c>
    </row>
    <row r="47" spans="1:17" x14ac:dyDescent="0.3">
      <c r="A47">
        <v>58</v>
      </c>
      <c r="B47" t="s">
        <v>122</v>
      </c>
      <c r="C47" t="s">
        <v>123</v>
      </c>
      <c r="D47" t="s">
        <v>18</v>
      </c>
      <c r="E47" t="s">
        <v>19</v>
      </c>
      <c r="F47">
        <v>4</v>
      </c>
      <c r="G47" t="s">
        <v>20</v>
      </c>
      <c r="H47" s="1">
        <v>45809</v>
      </c>
      <c r="I47" t="s">
        <v>29</v>
      </c>
      <c r="J47" t="s">
        <v>30</v>
      </c>
      <c r="K47" t="s">
        <v>22</v>
      </c>
      <c r="L47" t="s">
        <v>21</v>
      </c>
      <c r="M47" t="s">
        <v>22</v>
      </c>
      <c r="N47" t="s">
        <v>21</v>
      </c>
      <c r="O47" t="s">
        <v>24</v>
      </c>
      <c r="P47">
        <v>5.5</v>
      </c>
      <c r="Q47">
        <v>5.4</v>
      </c>
    </row>
    <row r="48" spans="1:17" x14ac:dyDescent="0.3">
      <c r="A48">
        <v>59</v>
      </c>
      <c r="B48" t="s">
        <v>124</v>
      </c>
      <c r="C48" t="s">
        <v>125</v>
      </c>
      <c r="D48" t="s">
        <v>18</v>
      </c>
      <c r="E48" t="s">
        <v>19</v>
      </c>
      <c r="F48">
        <v>4</v>
      </c>
      <c r="G48" t="s">
        <v>20</v>
      </c>
      <c r="H48" s="1">
        <v>45809</v>
      </c>
      <c r="I48" t="s">
        <v>30</v>
      </c>
      <c r="J48" t="s">
        <v>21</v>
      </c>
      <c r="K48" t="s">
        <v>23</v>
      </c>
      <c r="L48" t="s">
        <v>23</v>
      </c>
      <c r="M48" t="s">
        <v>23</v>
      </c>
      <c r="N48" t="s">
        <v>23</v>
      </c>
      <c r="O48" t="s">
        <v>24</v>
      </c>
      <c r="P48">
        <v>6.46</v>
      </c>
      <c r="Q48">
        <v>6.57</v>
      </c>
    </row>
    <row r="49" spans="1:17" x14ac:dyDescent="0.3">
      <c r="A49">
        <v>60</v>
      </c>
      <c r="B49" t="s">
        <v>126</v>
      </c>
      <c r="C49" t="s">
        <v>127</v>
      </c>
      <c r="D49" t="s">
        <v>18</v>
      </c>
      <c r="E49" t="s">
        <v>19</v>
      </c>
      <c r="F49">
        <v>4</v>
      </c>
      <c r="G49" t="s">
        <v>20</v>
      </c>
      <c r="H49" s="1">
        <v>45809</v>
      </c>
      <c r="I49" t="s">
        <v>37</v>
      </c>
      <c r="J49" t="s">
        <v>37</v>
      </c>
      <c r="K49" t="s">
        <v>43</v>
      </c>
      <c r="L49" t="s">
        <v>43</v>
      </c>
      <c r="M49" t="s">
        <v>43</v>
      </c>
      <c r="N49" t="s">
        <v>43</v>
      </c>
      <c r="O49" t="s">
        <v>24</v>
      </c>
      <c r="P49">
        <v>7.96</v>
      </c>
      <c r="Q49">
        <v>7.91</v>
      </c>
    </row>
    <row r="50" spans="1:17" x14ac:dyDescent="0.3">
      <c r="A50">
        <v>61</v>
      </c>
      <c r="B50" t="s">
        <v>128</v>
      </c>
      <c r="C50" t="s">
        <v>129</v>
      </c>
      <c r="D50" t="s">
        <v>18</v>
      </c>
      <c r="E50" t="s">
        <v>19</v>
      </c>
      <c r="F50">
        <v>4</v>
      </c>
      <c r="G50" t="s">
        <v>20</v>
      </c>
      <c r="H50" s="1">
        <v>45809</v>
      </c>
      <c r="I50" t="s">
        <v>22</v>
      </c>
      <c r="J50" t="s">
        <v>37</v>
      </c>
      <c r="K50" t="s">
        <v>23</v>
      </c>
      <c r="L50" t="s">
        <v>23</v>
      </c>
      <c r="M50" t="s">
        <v>23</v>
      </c>
      <c r="N50" t="s">
        <v>23</v>
      </c>
      <c r="O50" t="s">
        <v>24</v>
      </c>
      <c r="P50">
        <v>7.79</v>
      </c>
      <c r="Q50">
        <v>7.42</v>
      </c>
    </row>
    <row r="51" spans="1:17" x14ac:dyDescent="0.3">
      <c r="A51">
        <v>62</v>
      </c>
      <c r="B51" t="s">
        <v>130</v>
      </c>
      <c r="C51" t="s">
        <v>131</v>
      </c>
      <c r="D51" t="s">
        <v>18</v>
      </c>
      <c r="E51" t="s">
        <v>19</v>
      </c>
      <c r="F51">
        <v>4</v>
      </c>
      <c r="G51" t="s">
        <v>20</v>
      </c>
      <c r="H51" s="1">
        <v>45809</v>
      </c>
      <c r="I51" t="s">
        <v>37</v>
      </c>
      <c r="J51" t="s">
        <v>37</v>
      </c>
      <c r="K51" t="s">
        <v>43</v>
      </c>
      <c r="L51" t="s">
        <v>43</v>
      </c>
      <c r="M51" t="s">
        <v>43</v>
      </c>
      <c r="N51" t="s">
        <v>43</v>
      </c>
      <c r="O51" t="s">
        <v>24</v>
      </c>
      <c r="P51">
        <v>7.67</v>
      </c>
      <c r="Q51">
        <v>7.26</v>
      </c>
    </row>
    <row r="52" spans="1:17" x14ac:dyDescent="0.3">
      <c r="A52">
        <v>64</v>
      </c>
      <c r="B52" t="s">
        <v>132</v>
      </c>
      <c r="C52" t="s">
        <v>133</v>
      </c>
      <c r="D52" t="s">
        <v>18</v>
      </c>
      <c r="E52" t="s">
        <v>19</v>
      </c>
      <c r="F52">
        <v>4</v>
      </c>
      <c r="G52" t="s">
        <v>20</v>
      </c>
      <c r="H52" s="1">
        <v>45809</v>
      </c>
      <c r="I52" t="s">
        <v>37</v>
      </c>
      <c r="J52" t="s">
        <v>37</v>
      </c>
      <c r="K52" t="s">
        <v>23</v>
      </c>
      <c r="L52" t="s">
        <v>43</v>
      </c>
      <c r="M52" t="s">
        <v>43</v>
      </c>
      <c r="N52" t="s">
        <v>23</v>
      </c>
      <c r="O52" t="s">
        <v>24</v>
      </c>
      <c r="P52">
        <v>8.0399999999999991</v>
      </c>
      <c r="Q52">
        <v>7.5</v>
      </c>
    </row>
    <row r="53" spans="1:17" x14ac:dyDescent="0.3">
      <c r="A53">
        <v>65</v>
      </c>
      <c r="B53" t="s">
        <v>134</v>
      </c>
      <c r="C53" t="s">
        <v>135</v>
      </c>
      <c r="D53" t="s">
        <v>18</v>
      </c>
      <c r="E53" t="s">
        <v>19</v>
      </c>
      <c r="F53">
        <v>4</v>
      </c>
      <c r="G53" t="s">
        <v>20</v>
      </c>
      <c r="H53" s="1">
        <v>45809</v>
      </c>
      <c r="I53" t="s">
        <v>30</v>
      </c>
      <c r="J53" t="s">
        <v>22</v>
      </c>
      <c r="K53" t="s">
        <v>23</v>
      </c>
      <c r="L53" t="s">
        <v>23</v>
      </c>
      <c r="M53" t="s">
        <v>23</v>
      </c>
      <c r="N53" t="s">
        <v>23</v>
      </c>
      <c r="O53" t="s">
        <v>24</v>
      </c>
      <c r="P53">
        <v>6.88</v>
      </c>
      <c r="Q53">
        <v>6.8</v>
      </c>
    </row>
    <row r="54" spans="1:17" x14ac:dyDescent="0.3">
      <c r="A54">
        <v>66</v>
      </c>
      <c r="B54" t="s">
        <v>136</v>
      </c>
      <c r="C54" t="s">
        <v>137</v>
      </c>
      <c r="D54" t="s">
        <v>18</v>
      </c>
      <c r="E54" t="s">
        <v>19</v>
      </c>
      <c r="F54">
        <v>4</v>
      </c>
      <c r="G54" t="s">
        <v>20</v>
      </c>
      <c r="H54" s="1">
        <v>45809</v>
      </c>
      <c r="I54" t="s">
        <v>30</v>
      </c>
      <c r="J54" t="s">
        <v>22</v>
      </c>
      <c r="K54" t="s">
        <v>22</v>
      </c>
      <c r="L54" t="s">
        <v>21</v>
      </c>
      <c r="M54" t="s">
        <v>22</v>
      </c>
      <c r="N54" t="s">
        <v>22</v>
      </c>
      <c r="O54" t="s">
        <v>24</v>
      </c>
      <c r="P54">
        <v>6.21</v>
      </c>
      <c r="Q54">
        <v>5.75</v>
      </c>
    </row>
    <row r="55" spans="1:17" x14ac:dyDescent="0.3">
      <c r="A55">
        <v>67</v>
      </c>
      <c r="B55" t="s">
        <v>138</v>
      </c>
      <c r="C55" t="s">
        <v>139</v>
      </c>
      <c r="D55" t="s">
        <v>18</v>
      </c>
      <c r="E55" t="s">
        <v>19</v>
      </c>
      <c r="F55">
        <v>4</v>
      </c>
      <c r="G55" t="s">
        <v>20</v>
      </c>
      <c r="H55" s="1">
        <v>45809</v>
      </c>
      <c r="I55" t="s">
        <v>30</v>
      </c>
      <c r="J55" t="s">
        <v>21</v>
      </c>
      <c r="K55" t="s">
        <v>37</v>
      </c>
      <c r="L55" t="s">
        <v>22</v>
      </c>
      <c r="M55" t="s">
        <v>37</v>
      </c>
      <c r="N55" t="s">
        <v>37</v>
      </c>
      <c r="O55" t="s">
        <v>24</v>
      </c>
      <c r="P55">
        <v>5.75</v>
      </c>
      <c r="Q55">
        <v>5.71</v>
      </c>
    </row>
    <row r="56" spans="1:17" x14ac:dyDescent="0.3">
      <c r="A56">
        <v>68</v>
      </c>
      <c r="B56" t="s">
        <v>140</v>
      </c>
      <c r="C56" t="s">
        <v>141</v>
      </c>
      <c r="D56" t="s">
        <v>18</v>
      </c>
      <c r="E56" t="s">
        <v>19</v>
      </c>
      <c r="F56">
        <v>4</v>
      </c>
      <c r="G56" t="s">
        <v>20</v>
      </c>
      <c r="H56" s="1">
        <v>45809</v>
      </c>
      <c r="I56" t="s">
        <v>36</v>
      </c>
      <c r="J56" t="s">
        <v>22</v>
      </c>
      <c r="K56" t="s">
        <v>37</v>
      </c>
      <c r="L56" t="s">
        <v>22</v>
      </c>
      <c r="M56" t="s">
        <v>37</v>
      </c>
      <c r="N56" t="s">
        <v>37</v>
      </c>
      <c r="O56" t="s">
        <v>38</v>
      </c>
      <c r="P56">
        <v>5.33</v>
      </c>
      <c r="Q56">
        <v>5.3</v>
      </c>
    </row>
    <row r="57" spans="1:17" x14ac:dyDescent="0.3">
      <c r="A57">
        <v>69</v>
      </c>
      <c r="B57" t="s">
        <v>142</v>
      </c>
      <c r="C57" t="s">
        <v>143</v>
      </c>
      <c r="D57" t="s">
        <v>18</v>
      </c>
      <c r="E57" t="s">
        <v>19</v>
      </c>
      <c r="F57">
        <v>4</v>
      </c>
      <c r="G57" t="s">
        <v>20</v>
      </c>
      <c r="H57" s="1">
        <v>45809</v>
      </c>
      <c r="I57" t="s">
        <v>21</v>
      </c>
      <c r="J57" t="s">
        <v>37</v>
      </c>
      <c r="K57" t="s">
        <v>23</v>
      </c>
      <c r="L57" t="s">
        <v>23</v>
      </c>
      <c r="M57" t="s">
        <v>23</v>
      </c>
      <c r="N57" t="s">
        <v>43</v>
      </c>
      <c r="O57" t="s">
        <v>24</v>
      </c>
      <c r="P57">
        <v>7.58</v>
      </c>
      <c r="Q57">
        <v>7.44</v>
      </c>
    </row>
    <row r="58" spans="1:17" x14ac:dyDescent="0.3">
      <c r="A58">
        <v>71</v>
      </c>
      <c r="B58" t="s">
        <v>144</v>
      </c>
      <c r="C58" t="s">
        <v>145</v>
      </c>
      <c r="D58" t="s">
        <v>18</v>
      </c>
      <c r="E58" t="s">
        <v>19</v>
      </c>
      <c r="F58">
        <v>4</v>
      </c>
      <c r="G58" t="s">
        <v>20</v>
      </c>
      <c r="H58" s="1">
        <v>45809</v>
      </c>
      <c r="I58" t="s">
        <v>21</v>
      </c>
      <c r="J58" t="s">
        <v>22</v>
      </c>
      <c r="K58" t="s">
        <v>37</v>
      </c>
      <c r="L58" t="s">
        <v>37</v>
      </c>
      <c r="M58" t="s">
        <v>37</v>
      </c>
      <c r="N58" t="s">
        <v>37</v>
      </c>
      <c r="O58" t="s">
        <v>24</v>
      </c>
      <c r="P58">
        <v>6.71</v>
      </c>
      <c r="Q58">
        <v>5.78</v>
      </c>
    </row>
    <row r="59" spans="1:17" x14ac:dyDescent="0.3">
      <c r="A59">
        <v>72</v>
      </c>
      <c r="B59" t="s">
        <v>146</v>
      </c>
      <c r="C59" t="s">
        <v>147</v>
      </c>
      <c r="D59" t="s">
        <v>18</v>
      </c>
      <c r="E59" t="s">
        <v>19</v>
      </c>
      <c r="F59">
        <v>4</v>
      </c>
      <c r="G59" t="s">
        <v>20</v>
      </c>
      <c r="H59" s="1">
        <v>45809</v>
      </c>
      <c r="I59" t="s">
        <v>21</v>
      </c>
      <c r="J59" t="s">
        <v>37</v>
      </c>
      <c r="K59" t="s">
        <v>37</v>
      </c>
      <c r="L59" t="s">
        <v>22</v>
      </c>
      <c r="M59" t="s">
        <v>37</v>
      </c>
      <c r="N59" t="s">
        <v>37</v>
      </c>
      <c r="O59" t="s">
        <v>24</v>
      </c>
      <c r="P59">
        <v>7.08</v>
      </c>
      <c r="Q59">
        <v>6.51</v>
      </c>
    </row>
    <row r="60" spans="1:17" x14ac:dyDescent="0.3">
      <c r="A60">
        <v>74</v>
      </c>
      <c r="B60" t="s">
        <v>148</v>
      </c>
      <c r="C60" t="s">
        <v>149</v>
      </c>
      <c r="D60" t="s">
        <v>18</v>
      </c>
      <c r="E60" t="s">
        <v>19</v>
      </c>
      <c r="F60">
        <v>4</v>
      </c>
      <c r="G60" t="s">
        <v>20</v>
      </c>
      <c r="H60" s="1">
        <v>45809</v>
      </c>
      <c r="I60" t="s">
        <v>30</v>
      </c>
      <c r="J60" t="s">
        <v>22</v>
      </c>
      <c r="K60" t="s">
        <v>23</v>
      </c>
      <c r="L60" t="s">
        <v>23</v>
      </c>
      <c r="M60" t="s">
        <v>23</v>
      </c>
      <c r="N60" t="s">
        <v>23</v>
      </c>
      <c r="O60" t="s">
        <v>24</v>
      </c>
      <c r="P60">
        <v>7.04</v>
      </c>
      <c r="Q60">
        <v>6.85</v>
      </c>
    </row>
    <row r="61" spans="1:17" x14ac:dyDescent="0.3">
      <c r="A61">
        <v>75</v>
      </c>
      <c r="B61" t="s">
        <v>150</v>
      </c>
      <c r="C61" t="s">
        <v>151</v>
      </c>
      <c r="D61" t="s">
        <v>18</v>
      </c>
      <c r="E61" t="s">
        <v>19</v>
      </c>
      <c r="F61">
        <v>4</v>
      </c>
      <c r="G61" t="s">
        <v>20</v>
      </c>
      <c r="H61" s="1">
        <v>45809</v>
      </c>
      <c r="I61" t="s">
        <v>29</v>
      </c>
      <c r="J61" t="s">
        <v>22</v>
      </c>
      <c r="K61" t="s">
        <v>37</v>
      </c>
      <c r="L61" t="s">
        <v>37</v>
      </c>
      <c r="M61" t="s">
        <v>37</v>
      </c>
      <c r="N61" t="s">
        <v>37</v>
      </c>
      <c r="O61" t="s">
        <v>31</v>
      </c>
      <c r="P61">
        <v>5.96</v>
      </c>
      <c r="Q61">
        <v>5.8</v>
      </c>
    </row>
    <row r="62" spans="1:17" x14ac:dyDescent="0.3">
      <c r="A62">
        <v>76</v>
      </c>
      <c r="B62" t="s">
        <v>152</v>
      </c>
      <c r="C62" t="s">
        <v>153</v>
      </c>
      <c r="D62" t="s">
        <v>18</v>
      </c>
      <c r="E62" t="s">
        <v>19</v>
      </c>
      <c r="F62">
        <v>4</v>
      </c>
      <c r="G62" t="s">
        <v>20</v>
      </c>
      <c r="H62" s="1">
        <v>45809</v>
      </c>
      <c r="I62" t="s">
        <v>29</v>
      </c>
      <c r="J62" t="s">
        <v>21</v>
      </c>
      <c r="K62" t="s">
        <v>23</v>
      </c>
      <c r="L62" t="s">
        <v>23</v>
      </c>
      <c r="M62" t="s">
        <v>23</v>
      </c>
      <c r="N62" t="s">
        <v>37</v>
      </c>
      <c r="O62" t="s">
        <v>24</v>
      </c>
      <c r="P62">
        <v>5.75</v>
      </c>
      <c r="Q62">
        <v>5.88</v>
      </c>
    </row>
    <row r="63" spans="1:17" x14ac:dyDescent="0.3">
      <c r="A63">
        <v>77</v>
      </c>
      <c r="B63" t="s">
        <v>154</v>
      </c>
      <c r="C63" t="s">
        <v>155</v>
      </c>
      <c r="D63" t="s">
        <v>18</v>
      </c>
      <c r="E63" t="s">
        <v>19</v>
      </c>
      <c r="F63">
        <v>4</v>
      </c>
      <c r="G63" t="s">
        <v>20</v>
      </c>
      <c r="H63" s="1">
        <v>45809</v>
      </c>
      <c r="I63" t="s">
        <v>30</v>
      </c>
      <c r="J63" t="s">
        <v>22</v>
      </c>
      <c r="K63" t="s">
        <v>37</v>
      </c>
      <c r="L63" t="s">
        <v>37</v>
      </c>
      <c r="M63" t="s">
        <v>23</v>
      </c>
      <c r="N63" t="s">
        <v>23</v>
      </c>
      <c r="O63" t="s">
        <v>24</v>
      </c>
      <c r="P63">
        <v>6.46</v>
      </c>
      <c r="Q63">
        <v>6.01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M132"/>
  <sheetViews>
    <sheetView topLeftCell="A60" zoomScale="85" zoomScaleNormal="85" workbookViewId="0">
      <selection activeCell="M65" sqref="M65"/>
    </sheetView>
  </sheetViews>
  <sheetFormatPr defaultRowHeight="14.4" x14ac:dyDescent="0.3"/>
  <cols>
    <col min="1" max="1" width="24" bestFit="1" customWidth="1"/>
    <col min="2" max="2" width="12.5546875" bestFit="1" customWidth="1"/>
    <col min="3" max="3" width="16.109375" customWidth="1"/>
    <col min="4" max="4" width="24" bestFit="1" customWidth="1"/>
    <col min="5" max="5" width="15.77734375" bestFit="1" customWidth="1"/>
    <col min="6" max="6" width="14.33203125" customWidth="1"/>
    <col min="7" max="7" width="24" bestFit="1" customWidth="1"/>
    <col min="8" max="8" width="12.5546875" customWidth="1"/>
    <col min="9" max="9" width="13.44140625" customWidth="1"/>
    <col min="10" max="10" width="12.88671875" customWidth="1"/>
    <col min="11" max="11" width="15.33203125" customWidth="1"/>
    <col min="12" max="12" width="19.44140625" bestFit="1" customWidth="1"/>
    <col min="13" max="13" width="19.44140625" customWidth="1"/>
    <col min="14" max="14" width="15.33203125" customWidth="1"/>
    <col min="15" max="15" width="19.88671875" customWidth="1"/>
    <col min="16" max="16" width="18" customWidth="1"/>
    <col min="17" max="17" width="17.44140625" customWidth="1"/>
    <col min="18" max="18" width="16.44140625" customWidth="1"/>
    <col min="19" max="19" width="20.5546875" customWidth="1"/>
    <col min="20" max="20" width="13.44140625" customWidth="1"/>
    <col min="21" max="21" width="15.88671875" customWidth="1"/>
    <col min="22" max="22" width="7.109375" customWidth="1"/>
    <col min="23" max="23" width="18.44140625" customWidth="1"/>
    <col min="24" max="24" width="15.44140625" customWidth="1"/>
    <col min="25" max="25" width="16.5546875" customWidth="1"/>
    <col min="26" max="26" width="16.6640625" customWidth="1"/>
    <col min="27" max="27" width="15.33203125" customWidth="1"/>
    <col min="28" max="28" width="4.109375" customWidth="1"/>
    <col min="29" max="29" width="14.109375" customWidth="1"/>
    <col min="30" max="30" width="15.5546875" customWidth="1"/>
    <col min="31" max="31" width="15.6640625" customWidth="1"/>
    <col min="32" max="32" width="18.6640625" customWidth="1"/>
    <col min="33" max="33" width="17.33203125" customWidth="1"/>
    <col min="34" max="34" width="18.109375" customWidth="1"/>
    <col min="35" max="35" width="15.44140625" customWidth="1"/>
    <col min="36" max="36" width="16.5546875" customWidth="1"/>
    <col min="37" max="37" width="21.109375" customWidth="1"/>
    <col min="38" max="38" width="24.6640625" customWidth="1"/>
    <col min="39" max="39" width="17.6640625" customWidth="1"/>
    <col min="40" max="40" width="9.88671875" customWidth="1"/>
    <col min="41" max="41" width="16.5546875" customWidth="1"/>
    <col min="42" max="42" width="14.44140625" customWidth="1"/>
    <col min="43" max="43" width="16.44140625" customWidth="1"/>
    <col min="44" max="44" width="13.6640625" customWidth="1"/>
    <col min="45" max="45" width="17.33203125" bestFit="1" customWidth="1"/>
    <col min="46" max="46" width="20.33203125" bestFit="1" customWidth="1"/>
    <col min="47" max="47" width="17.33203125" bestFit="1" customWidth="1"/>
    <col min="48" max="48" width="22.33203125" bestFit="1" customWidth="1"/>
    <col min="49" max="49" width="15.33203125" bestFit="1" customWidth="1"/>
    <col min="50" max="50" width="15.88671875" bestFit="1" customWidth="1"/>
    <col min="51" max="51" width="16.6640625" bestFit="1" customWidth="1"/>
    <col min="52" max="52" width="15.44140625" bestFit="1" customWidth="1"/>
    <col min="53" max="53" width="12.109375" bestFit="1" customWidth="1"/>
    <col min="54" max="54" width="14.33203125" bestFit="1" customWidth="1"/>
    <col min="55" max="55" width="16" bestFit="1" customWidth="1"/>
    <col min="56" max="56" width="14.6640625" bestFit="1" customWidth="1"/>
    <col min="57" max="57" width="22.6640625" bestFit="1" customWidth="1"/>
    <col min="58" max="58" width="10.88671875" bestFit="1" customWidth="1"/>
    <col min="59" max="59" width="15.109375" bestFit="1" customWidth="1"/>
    <col min="60" max="60" width="16" bestFit="1" customWidth="1"/>
    <col min="61" max="61" width="15.109375" bestFit="1" customWidth="1"/>
    <col min="62" max="62" width="13.109375" bestFit="1" customWidth="1"/>
    <col min="63" max="63" width="16.44140625" bestFit="1" customWidth="1"/>
    <col min="64" max="64" width="13.44140625" bestFit="1" customWidth="1"/>
    <col min="65" max="65" width="14.44140625" bestFit="1" customWidth="1"/>
    <col min="66" max="66" width="15.109375" bestFit="1" customWidth="1"/>
    <col min="67" max="67" width="11.33203125" bestFit="1" customWidth="1"/>
  </cols>
  <sheetData>
    <row r="3" spans="1:13" x14ac:dyDescent="0.3">
      <c r="A3" s="2" t="s">
        <v>157</v>
      </c>
      <c r="B3" t="s">
        <v>159</v>
      </c>
      <c r="D3" s="2" t="s">
        <v>157</v>
      </c>
      <c r="E3" t="s">
        <v>160</v>
      </c>
      <c r="G3" s="2" t="s">
        <v>157</v>
      </c>
      <c r="H3" t="s">
        <v>161</v>
      </c>
      <c r="I3" t="s">
        <v>162</v>
      </c>
    </row>
    <row r="4" spans="1:13" x14ac:dyDescent="0.3">
      <c r="A4" s="3" t="s">
        <v>24</v>
      </c>
      <c r="B4" s="10">
        <v>48</v>
      </c>
      <c r="D4" s="3" t="s">
        <v>110</v>
      </c>
      <c r="E4" s="10">
        <v>8.25</v>
      </c>
      <c r="G4" s="3" t="s">
        <v>110</v>
      </c>
      <c r="H4" s="10">
        <v>8.07</v>
      </c>
      <c r="I4" s="4">
        <f>H4*9.5</f>
        <v>76.665000000000006</v>
      </c>
      <c r="L4" s="9" t="s">
        <v>165</v>
      </c>
      <c r="M4" s="6">
        <f>E132</f>
        <v>62</v>
      </c>
    </row>
    <row r="5" spans="1:13" x14ac:dyDescent="0.3">
      <c r="A5" s="3" t="s">
        <v>31</v>
      </c>
      <c r="B5" s="10">
        <v>6</v>
      </c>
      <c r="D5" s="3" t="s">
        <v>83</v>
      </c>
      <c r="E5" s="10">
        <v>8.0399999999999991</v>
      </c>
      <c r="G5" s="3" t="s">
        <v>83</v>
      </c>
      <c r="H5" s="10">
        <v>8.02</v>
      </c>
      <c r="I5" s="4">
        <f t="shared" ref="I5:I65" si="0">H5*9.5</f>
        <v>76.19</v>
      </c>
      <c r="L5" s="9" t="s">
        <v>166</v>
      </c>
      <c r="M5" s="7">
        <f>SUM(B4:B5)/M4</f>
        <v>0.87096774193548387</v>
      </c>
    </row>
    <row r="6" spans="1:13" x14ac:dyDescent="0.3">
      <c r="A6" s="3" t="s">
        <v>38</v>
      </c>
      <c r="B6" s="10">
        <v>5</v>
      </c>
      <c r="D6" s="3" t="s">
        <v>132</v>
      </c>
      <c r="E6" s="10">
        <v>8.0399999999999991</v>
      </c>
      <c r="G6" s="3" t="s">
        <v>95</v>
      </c>
      <c r="H6" s="10">
        <v>8.01</v>
      </c>
      <c r="I6" s="4">
        <f t="shared" si="0"/>
        <v>76.094999999999999</v>
      </c>
      <c r="L6" s="9" t="s">
        <v>167</v>
      </c>
      <c r="M6" s="8">
        <f>AVERAGE(E4:E65)</f>
        <v>6.6058064516129011</v>
      </c>
    </row>
    <row r="7" spans="1:13" x14ac:dyDescent="0.3">
      <c r="A7" s="3" t="s">
        <v>62</v>
      </c>
      <c r="B7" s="10">
        <v>2</v>
      </c>
      <c r="D7" s="3" t="s">
        <v>108</v>
      </c>
      <c r="E7" s="10">
        <v>8</v>
      </c>
      <c r="G7" s="3" t="s">
        <v>126</v>
      </c>
      <c r="H7" s="10">
        <v>7.91</v>
      </c>
      <c r="I7" s="4">
        <f t="shared" si="0"/>
        <v>75.144999999999996</v>
      </c>
      <c r="L7" s="9" t="s">
        <v>168</v>
      </c>
      <c r="M7" s="8">
        <f>AVERAGE(H4:H65)</f>
        <v>6.5479032258064516</v>
      </c>
    </row>
    <row r="8" spans="1:13" x14ac:dyDescent="0.3">
      <c r="A8" s="3" t="s">
        <v>99</v>
      </c>
      <c r="B8" s="10">
        <v>1</v>
      </c>
      <c r="D8" s="3" t="s">
        <v>126</v>
      </c>
      <c r="E8" s="10">
        <v>7.96</v>
      </c>
      <c r="G8" s="3" t="s">
        <v>108</v>
      </c>
      <c r="H8" s="10">
        <v>7.9</v>
      </c>
      <c r="I8" s="4">
        <f t="shared" si="0"/>
        <v>75.05</v>
      </c>
      <c r="L8" s="9" t="s">
        <v>169</v>
      </c>
      <c r="M8" s="6" t="s">
        <v>170</v>
      </c>
    </row>
    <row r="9" spans="1:13" x14ac:dyDescent="0.3">
      <c r="D9" s="3" t="s">
        <v>93</v>
      </c>
      <c r="E9" s="10">
        <v>7.92</v>
      </c>
      <c r="G9" s="3" t="s">
        <v>81</v>
      </c>
      <c r="H9" s="10">
        <v>7.76</v>
      </c>
      <c r="I9" s="4">
        <f t="shared" si="0"/>
        <v>73.72</v>
      </c>
    </row>
    <row r="10" spans="1:13" x14ac:dyDescent="0.3">
      <c r="D10" s="3" t="s">
        <v>128</v>
      </c>
      <c r="E10" s="10">
        <v>7.79</v>
      </c>
      <c r="G10" s="3" t="s">
        <v>132</v>
      </c>
      <c r="H10" s="10">
        <v>7.5</v>
      </c>
      <c r="I10" s="4">
        <f t="shared" si="0"/>
        <v>71.25</v>
      </c>
    </row>
    <row r="11" spans="1:13" x14ac:dyDescent="0.3">
      <c r="A11" s="2" t="s">
        <v>164</v>
      </c>
      <c r="B11" s="2" t="s">
        <v>62</v>
      </c>
      <c r="D11" s="3" t="s">
        <v>81</v>
      </c>
      <c r="E11" s="10">
        <v>7.79</v>
      </c>
      <c r="G11" s="3" t="s">
        <v>100</v>
      </c>
      <c r="H11" s="10">
        <v>7.5</v>
      </c>
      <c r="I11" s="4">
        <f t="shared" si="0"/>
        <v>71.25</v>
      </c>
    </row>
    <row r="12" spans="1:13" x14ac:dyDescent="0.3">
      <c r="A12" s="3" t="s">
        <v>16</v>
      </c>
      <c r="B12" s="3" t="s">
        <v>60</v>
      </c>
      <c r="D12" s="3" t="s">
        <v>95</v>
      </c>
      <c r="E12" s="10">
        <v>7.75</v>
      </c>
      <c r="G12" s="3" t="s">
        <v>142</v>
      </c>
      <c r="H12" s="10">
        <v>7.44</v>
      </c>
      <c r="I12" s="4">
        <f t="shared" si="0"/>
        <v>70.680000000000007</v>
      </c>
    </row>
    <row r="13" spans="1:13" x14ac:dyDescent="0.3">
      <c r="A13" s="3" t="s">
        <v>25</v>
      </c>
      <c r="B13" s="3" t="s">
        <v>89</v>
      </c>
      <c r="D13" s="3" t="s">
        <v>130</v>
      </c>
      <c r="E13" s="10">
        <v>7.67</v>
      </c>
      <c r="G13" s="3" t="s">
        <v>102</v>
      </c>
      <c r="H13" s="10">
        <v>7.43</v>
      </c>
      <c r="I13" s="4">
        <f t="shared" si="0"/>
        <v>70.584999999999994</v>
      </c>
    </row>
    <row r="14" spans="1:13" x14ac:dyDescent="0.3">
      <c r="A14" s="3" t="s">
        <v>41</v>
      </c>
      <c r="D14" s="3" t="s">
        <v>142</v>
      </c>
      <c r="E14" s="10">
        <v>7.58</v>
      </c>
      <c r="G14" s="3" t="s">
        <v>128</v>
      </c>
      <c r="H14" s="10">
        <v>7.42</v>
      </c>
      <c r="I14" s="4">
        <f t="shared" si="0"/>
        <v>70.489999999999995</v>
      </c>
    </row>
    <row r="15" spans="1:13" x14ac:dyDescent="0.3">
      <c r="A15" s="3" t="s">
        <v>44</v>
      </c>
      <c r="D15" s="3" t="s">
        <v>104</v>
      </c>
      <c r="E15" s="10">
        <v>7.58</v>
      </c>
      <c r="G15" s="3" t="s">
        <v>52</v>
      </c>
      <c r="H15" s="10">
        <v>7.33</v>
      </c>
      <c r="I15" s="4">
        <f t="shared" si="0"/>
        <v>69.635000000000005</v>
      </c>
    </row>
    <row r="16" spans="1:13" x14ac:dyDescent="0.3">
      <c r="A16" s="3" t="s">
        <v>46</v>
      </c>
      <c r="D16" s="3" t="s">
        <v>54</v>
      </c>
      <c r="E16" s="10">
        <v>7.5</v>
      </c>
      <c r="G16" s="3" t="s">
        <v>93</v>
      </c>
      <c r="H16" s="10">
        <v>7.27</v>
      </c>
      <c r="I16" s="4">
        <f t="shared" si="0"/>
        <v>69.064999999999998</v>
      </c>
    </row>
    <row r="17" spans="1:9" x14ac:dyDescent="0.3">
      <c r="A17" s="3" t="s">
        <v>48</v>
      </c>
      <c r="B17" s="5" t="s">
        <v>31</v>
      </c>
      <c r="D17" s="3" t="s">
        <v>100</v>
      </c>
      <c r="E17" s="10">
        <v>7.42</v>
      </c>
      <c r="G17" s="3" t="s">
        <v>104</v>
      </c>
      <c r="H17" s="10">
        <v>7.27</v>
      </c>
      <c r="I17" s="4">
        <f t="shared" si="0"/>
        <v>69.064999999999998</v>
      </c>
    </row>
    <row r="18" spans="1:9" x14ac:dyDescent="0.3">
      <c r="A18" s="3" t="s">
        <v>50</v>
      </c>
      <c r="B18" s="6" t="s">
        <v>27</v>
      </c>
      <c r="D18" s="3" t="s">
        <v>102</v>
      </c>
      <c r="E18" s="10">
        <v>7.42</v>
      </c>
      <c r="G18" s="3" t="s">
        <v>130</v>
      </c>
      <c r="H18" s="10">
        <v>7.26</v>
      </c>
      <c r="I18" s="4">
        <f t="shared" si="0"/>
        <v>68.97</v>
      </c>
    </row>
    <row r="19" spans="1:9" x14ac:dyDescent="0.3">
      <c r="A19" s="3" t="s">
        <v>52</v>
      </c>
      <c r="B19" s="6" t="s">
        <v>32</v>
      </c>
      <c r="D19" s="3" t="s">
        <v>41</v>
      </c>
      <c r="E19" s="10">
        <v>7.33</v>
      </c>
      <c r="G19" s="3" t="s">
        <v>48</v>
      </c>
      <c r="H19" s="10">
        <v>7.24</v>
      </c>
      <c r="I19" s="4">
        <f t="shared" si="0"/>
        <v>68.78</v>
      </c>
    </row>
    <row r="20" spans="1:9" x14ac:dyDescent="0.3">
      <c r="A20" s="3" t="s">
        <v>54</v>
      </c>
      <c r="B20" s="6" t="s">
        <v>75</v>
      </c>
      <c r="D20" s="3" t="s">
        <v>114</v>
      </c>
      <c r="E20" s="10">
        <v>7.33</v>
      </c>
      <c r="G20" s="3" t="s">
        <v>41</v>
      </c>
      <c r="H20" s="10">
        <v>7.24</v>
      </c>
      <c r="I20" s="4">
        <f t="shared" si="0"/>
        <v>68.78</v>
      </c>
    </row>
    <row r="21" spans="1:9" x14ac:dyDescent="0.3">
      <c r="A21" s="3" t="s">
        <v>56</v>
      </c>
      <c r="B21" s="6" t="s">
        <v>87</v>
      </c>
      <c r="D21" s="3" t="s">
        <v>69</v>
      </c>
      <c r="E21" s="10">
        <v>7.21</v>
      </c>
      <c r="G21" s="3" t="s">
        <v>56</v>
      </c>
      <c r="H21" s="10">
        <v>7.12</v>
      </c>
      <c r="I21" s="4">
        <f t="shared" si="0"/>
        <v>67.64</v>
      </c>
    </row>
    <row r="22" spans="1:9" x14ac:dyDescent="0.3">
      <c r="A22" s="3" t="s">
        <v>58</v>
      </c>
      <c r="B22" s="6" t="s">
        <v>120</v>
      </c>
      <c r="D22" s="3" t="s">
        <v>63</v>
      </c>
      <c r="E22" s="10">
        <v>7.13</v>
      </c>
      <c r="G22" s="3" t="s">
        <v>54</v>
      </c>
      <c r="H22" s="10">
        <v>7.09</v>
      </c>
      <c r="I22" s="4">
        <f t="shared" si="0"/>
        <v>67.355000000000004</v>
      </c>
    </row>
    <row r="23" spans="1:9" x14ac:dyDescent="0.3">
      <c r="A23" s="3" t="s">
        <v>63</v>
      </c>
      <c r="B23" s="6" t="s">
        <v>150</v>
      </c>
      <c r="D23" s="3" t="s">
        <v>52</v>
      </c>
      <c r="E23" s="10">
        <v>7.13</v>
      </c>
      <c r="G23" s="3" t="s">
        <v>44</v>
      </c>
      <c r="H23" s="10">
        <v>7.09</v>
      </c>
      <c r="I23" s="4">
        <f t="shared" si="0"/>
        <v>67.355000000000004</v>
      </c>
    </row>
    <row r="24" spans="1:9" x14ac:dyDescent="0.3">
      <c r="A24" s="3" t="s">
        <v>65</v>
      </c>
      <c r="D24" s="3" t="s">
        <v>16</v>
      </c>
      <c r="E24" s="10">
        <v>7.08</v>
      </c>
      <c r="G24" s="3" t="s">
        <v>58</v>
      </c>
      <c r="H24" s="10">
        <v>7.05</v>
      </c>
      <c r="I24" s="4">
        <f t="shared" si="0"/>
        <v>66.974999999999994</v>
      </c>
    </row>
    <row r="25" spans="1:9" x14ac:dyDescent="0.3">
      <c r="A25" s="3" t="s">
        <v>67</v>
      </c>
      <c r="D25" s="3" t="s">
        <v>56</v>
      </c>
      <c r="E25" s="10">
        <v>7.08</v>
      </c>
      <c r="G25" s="3" t="s">
        <v>118</v>
      </c>
      <c r="H25" s="10">
        <v>7.01</v>
      </c>
      <c r="I25" s="4">
        <f t="shared" si="0"/>
        <v>66.594999999999999</v>
      </c>
    </row>
    <row r="26" spans="1:9" x14ac:dyDescent="0.3">
      <c r="A26" s="3" t="s">
        <v>69</v>
      </c>
      <c r="D26" s="3" t="s">
        <v>146</v>
      </c>
      <c r="E26" s="10">
        <v>7.08</v>
      </c>
      <c r="G26" s="3" t="s">
        <v>148</v>
      </c>
      <c r="H26" s="10">
        <v>6.85</v>
      </c>
      <c r="I26" s="4">
        <f t="shared" si="0"/>
        <v>65.075000000000003</v>
      </c>
    </row>
    <row r="27" spans="1:9" x14ac:dyDescent="0.3">
      <c r="A27" s="3" t="s">
        <v>71</v>
      </c>
      <c r="D27" s="3" t="s">
        <v>48</v>
      </c>
      <c r="E27" s="10">
        <v>7.04</v>
      </c>
      <c r="G27" s="3" t="s">
        <v>106</v>
      </c>
      <c r="H27" s="10">
        <v>6.82</v>
      </c>
      <c r="I27" s="4">
        <f t="shared" si="0"/>
        <v>64.790000000000006</v>
      </c>
    </row>
    <row r="28" spans="1:9" x14ac:dyDescent="0.3">
      <c r="A28" s="3" t="s">
        <v>73</v>
      </c>
      <c r="D28" s="3" t="s">
        <v>148</v>
      </c>
      <c r="E28" s="10">
        <v>7.04</v>
      </c>
      <c r="G28" s="3" t="s">
        <v>32</v>
      </c>
      <c r="H28" s="10">
        <v>6.82</v>
      </c>
      <c r="I28" s="4">
        <f t="shared" si="0"/>
        <v>64.790000000000006</v>
      </c>
    </row>
    <row r="29" spans="1:9" x14ac:dyDescent="0.3">
      <c r="A29" s="3" t="s">
        <v>81</v>
      </c>
      <c r="D29" s="3" t="s">
        <v>58</v>
      </c>
      <c r="E29" s="10">
        <v>7.04</v>
      </c>
      <c r="G29" s="3" t="s">
        <v>63</v>
      </c>
      <c r="H29" s="10">
        <v>6.81</v>
      </c>
      <c r="I29" s="4">
        <f t="shared" si="0"/>
        <v>64.694999999999993</v>
      </c>
    </row>
    <row r="30" spans="1:9" x14ac:dyDescent="0.3">
      <c r="A30" s="3" t="s">
        <v>83</v>
      </c>
      <c r="D30" s="3" t="s">
        <v>44</v>
      </c>
      <c r="E30" s="10">
        <v>7.04</v>
      </c>
      <c r="G30" s="3" t="s">
        <v>73</v>
      </c>
      <c r="H30" s="10">
        <v>6.81</v>
      </c>
      <c r="I30" s="4">
        <f t="shared" si="0"/>
        <v>64.694999999999993</v>
      </c>
    </row>
    <row r="31" spans="1:9" x14ac:dyDescent="0.3">
      <c r="A31" s="3" t="s">
        <v>85</v>
      </c>
      <c r="D31" s="3" t="s">
        <v>71</v>
      </c>
      <c r="E31" s="10">
        <v>6.92</v>
      </c>
      <c r="G31" s="3" t="s">
        <v>134</v>
      </c>
      <c r="H31" s="10">
        <v>6.8</v>
      </c>
      <c r="I31" s="4">
        <f t="shared" si="0"/>
        <v>64.599999999999994</v>
      </c>
    </row>
    <row r="32" spans="1:9" x14ac:dyDescent="0.3">
      <c r="A32" s="3" t="s">
        <v>91</v>
      </c>
      <c r="D32" s="3" t="s">
        <v>67</v>
      </c>
      <c r="E32" s="10">
        <v>6.92</v>
      </c>
      <c r="G32" s="3" t="s">
        <v>87</v>
      </c>
      <c r="H32" s="10">
        <v>6.72</v>
      </c>
      <c r="I32" s="4">
        <f t="shared" si="0"/>
        <v>63.839999999999996</v>
      </c>
    </row>
    <row r="33" spans="1:12" x14ac:dyDescent="0.3">
      <c r="A33" s="3" t="s">
        <v>93</v>
      </c>
      <c r="B33" s="2" t="s">
        <v>99</v>
      </c>
      <c r="D33" s="3" t="s">
        <v>134</v>
      </c>
      <c r="E33" s="10">
        <v>6.88</v>
      </c>
      <c r="G33" s="3" t="s">
        <v>69</v>
      </c>
      <c r="H33" s="10">
        <v>6.72</v>
      </c>
      <c r="I33" s="4">
        <f t="shared" si="0"/>
        <v>63.839999999999996</v>
      </c>
      <c r="K33" t="s">
        <v>171</v>
      </c>
    </row>
    <row r="34" spans="1:12" x14ac:dyDescent="0.3">
      <c r="A34" s="3" t="s">
        <v>95</v>
      </c>
      <c r="B34" s="3" t="s">
        <v>97</v>
      </c>
      <c r="D34" s="3" t="s">
        <v>106</v>
      </c>
      <c r="E34" s="10">
        <v>6.83</v>
      </c>
      <c r="G34" s="3" t="s">
        <v>16</v>
      </c>
      <c r="H34" s="10">
        <v>6.71</v>
      </c>
      <c r="I34" s="4">
        <f t="shared" si="0"/>
        <v>63.744999999999997</v>
      </c>
      <c r="K34" s="3" t="s">
        <v>110</v>
      </c>
      <c r="L34" s="10">
        <v>8.25</v>
      </c>
    </row>
    <row r="35" spans="1:12" x14ac:dyDescent="0.3">
      <c r="A35" s="3" t="s">
        <v>100</v>
      </c>
      <c r="D35" s="3" t="s">
        <v>73</v>
      </c>
      <c r="E35" s="10">
        <v>6.75</v>
      </c>
      <c r="G35" s="3" t="s">
        <v>114</v>
      </c>
      <c r="H35" s="10">
        <v>6.7</v>
      </c>
      <c r="I35" s="4">
        <f t="shared" si="0"/>
        <v>63.65</v>
      </c>
      <c r="K35" s="3" t="s">
        <v>83</v>
      </c>
      <c r="L35" s="10">
        <v>8.0399999999999991</v>
      </c>
    </row>
    <row r="36" spans="1:12" x14ac:dyDescent="0.3">
      <c r="A36" s="3" t="s">
        <v>102</v>
      </c>
      <c r="D36" s="3" t="s">
        <v>144</v>
      </c>
      <c r="E36" s="10">
        <v>6.71</v>
      </c>
      <c r="G36" s="3" t="s">
        <v>71</v>
      </c>
      <c r="H36" s="10">
        <v>6.62</v>
      </c>
      <c r="I36" s="4">
        <f t="shared" si="0"/>
        <v>62.89</v>
      </c>
      <c r="K36" s="3" t="s">
        <v>132</v>
      </c>
      <c r="L36" s="10">
        <v>8.0399999999999991</v>
      </c>
    </row>
    <row r="37" spans="1:12" x14ac:dyDescent="0.3">
      <c r="A37" s="3" t="s">
        <v>104</v>
      </c>
      <c r="B37" s="2" t="s">
        <v>38</v>
      </c>
      <c r="D37" s="3" t="s">
        <v>32</v>
      </c>
      <c r="E37" s="10">
        <v>6.71</v>
      </c>
      <c r="G37" s="3" t="s">
        <v>124</v>
      </c>
      <c r="H37" s="10">
        <v>6.57</v>
      </c>
      <c r="I37" s="4">
        <f t="shared" si="0"/>
        <v>62.415000000000006</v>
      </c>
      <c r="K37" s="3" t="s">
        <v>108</v>
      </c>
      <c r="L37" s="10">
        <v>8</v>
      </c>
    </row>
    <row r="38" spans="1:12" x14ac:dyDescent="0.3">
      <c r="A38" s="3" t="s">
        <v>106</v>
      </c>
      <c r="B38" s="3" t="s">
        <v>34</v>
      </c>
      <c r="D38" s="3" t="s">
        <v>25</v>
      </c>
      <c r="E38" s="10">
        <v>6.46</v>
      </c>
      <c r="G38" s="3" t="s">
        <v>146</v>
      </c>
      <c r="H38" s="10">
        <v>6.51</v>
      </c>
      <c r="I38" s="4">
        <f t="shared" si="0"/>
        <v>61.844999999999999</v>
      </c>
      <c r="K38" s="3" t="s">
        <v>126</v>
      </c>
      <c r="L38" s="10">
        <v>7.96</v>
      </c>
    </row>
    <row r="39" spans="1:12" x14ac:dyDescent="0.3">
      <c r="A39" s="3" t="s">
        <v>108</v>
      </c>
      <c r="B39" s="3" t="s">
        <v>39</v>
      </c>
      <c r="D39" s="3" t="s">
        <v>118</v>
      </c>
      <c r="E39" s="10">
        <v>6.46</v>
      </c>
      <c r="G39" s="3" t="s">
        <v>67</v>
      </c>
      <c r="H39" s="10">
        <v>6.49</v>
      </c>
      <c r="I39" s="4">
        <f t="shared" si="0"/>
        <v>61.655000000000001</v>
      </c>
      <c r="K39" s="3" t="s">
        <v>93</v>
      </c>
      <c r="L39" s="10">
        <v>7.92</v>
      </c>
    </row>
    <row r="40" spans="1:12" x14ac:dyDescent="0.3">
      <c r="A40" s="3" t="s">
        <v>110</v>
      </c>
      <c r="B40" s="3" t="s">
        <v>77</v>
      </c>
      <c r="D40" s="3" t="s">
        <v>124</v>
      </c>
      <c r="E40" s="10">
        <v>6.46</v>
      </c>
      <c r="G40" s="3" t="s">
        <v>85</v>
      </c>
      <c r="H40" s="10">
        <v>6.39</v>
      </c>
      <c r="I40" s="4">
        <f t="shared" si="0"/>
        <v>60.704999999999998</v>
      </c>
      <c r="K40" s="3" t="s">
        <v>128</v>
      </c>
      <c r="L40" s="10">
        <v>7.79</v>
      </c>
    </row>
    <row r="41" spans="1:12" x14ac:dyDescent="0.3">
      <c r="A41" s="3" t="s">
        <v>112</v>
      </c>
      <c r="B41" s="3" t="s">
        <v>79</v>
      </c>
      <c r="D41" s="3" t="s">
        <v>154</v>
      </c>
      <c r="E41" s="10">
        <v>6.46</v>
      </c>
      <c r="G41" s="3" t="s">
        <v>25</v>
      </c>
      <c r="H41" s="10">
        <v>6.38</v>
      </c>
      <c r="I41" s="4">
        <f t="shared" si="0"/>
        <v>60.61</v>
      </c>
      <c r="K41" s="3" t="s">
        <v>81</v>
      </c>
      <c r="L41" s="10">
        <v>7.79</v>
      </c>
    </row>
    <row r="42" spans="1:12" x14ac:dyDescent="0.3">
      <c r="A42" s="3" t="s">
        <v>114</v>
      </c>
      <c r="B42" s="3" t="s">
        <v>140</v>
      </c>
      <c r="D42" s="3" t="s">
        <v>85</v>
      </c>
      <c r="E42" s="10">
        <v>6.42</v>
      </c>
      <c r="G42" s="3" t="s">
        <v>97</v>
      </c>
      <c r="H42" s="10">
        <v>6.18</v>
      </c>
      <c r="I42" s="4">
        <f t="shared" si="0"/>
        <v>58.709999999999994</v>
      </c>
      <c r="K42" s="3" t="s">
        <v>95</v>
      </c>
      <c r="L42" s="10">
        <v>7.75</v>
      </c>
    </row>
    <row r="43" spans="1:12" x14ac:dyDescent="0.3">
      <c r="A43" s="3" t="s">
        <v>116</v>
      </c>
      <c r="D43" s="3" t="s">
        <v>65</v>
      </c>
      <c r="E43" s="10">
        <v>6.38</v>
      </c>
      <c r="G43" s="3" t="s">
        <v>46</v>
      </c>
      <c r="H43" s="10">
        <v>6.17</v>
      </c>
      <c r="I43" s="4">
        <f t="shared" si="0"/>
        <v>58.615000000000002</v>
      </c>
      <c r="K43" s="3" t="s">
        <v>130</v>
      </c>
      <c r="L43" s="10">
        <v>7.67</v>
      </c>
    </row>
    <row r="44" spans="1:12" x14ac:dyDescent="0.3">
      <c r="A44" s="3" t="s">
        <v>118</v>
      </c>
      <c r="D44" s="3" t="s">
        <v>87</v>
      </c>
      <c r="E44" s="10">
        <v>6.38</v>
      </c>
      <c r="G44" s="3" t="s">
        <v>112</v>
      </c>
      <c r="H44" s="10">
        <v>6.17</v>
      </c>
      <c r="I44" s="4">
        <f t="shared" si="0"/>
        <v>58.615000000000002</v>
      </c>
    </row>
    <row r="45" spans="1:12" x14ac:dyDescent="0.3">
      <c r="A45" s="3" t="s">
        <v>122</v>
      </c>
      <c r="D45" s="3" t="s">
        <v>46</v>
      </c>
      <c r="E45" s="10">
        <v>6.29</v>
      </c>
      <c r="G45" s="3" t="s">
        <v>65</v>
      </c>
      <c r="H45" s="10">
        <v>6.11</v>
      </c>
      <c r="I45" s="4">
        <f t="shared" si="0"/>
        <v>58.045000000000002</v>
      </c>
    </row>
    <row r="46" spans="1:12" x14ac:dyDescent="0.3">
      <c r="A46" s="3" t="s">
        <v>124</v>
      </c>
      <c r="D46" s="3" t="s">
        <v>97</v>
      </c>
      <c r="E46" s="10">
        <v>6.25</v>
      </c>
      <c r="G46" s="3" t="s">
        <v>116</v>
      </c>
      <c r="H46" s="10">
        <v>6.04</v>
      </c>
      <c r="I46" s="4">
        <f t="shared" si="0"/>
        <v>57.38</v>
      </c>
    </row>
    <row r="47" spans="1:12" x14ac:dyDescent="0.3">
      <c r="A47" s="3" t="s">
        <v>126</v>
      </c>
      <c r="D47" s="3" t="s">
        <v>116</v>
      </c>
      <c r="E47" s="10">
        <v>6.25</v>
      </c>
      <c r="G47" s="3" t="s">
        <v>120</v>
      </c>
      <c r="H47" s="10">
        <v>6.02</v>
      </c>
      <c r="I47" s="4">
        <f t="shared" si="0"/>
        <v>57.19</v>
      </c>
    </row>
    <row r="48" spans="1:12" x14ac:dyDescent="0.3">
      <c r="A48" s="3" t="s">
        <v>128</v>
      </c>
      <c r="D48" s="3" t="s">
        <v>136</v>
      </c>
      <c r="E48" s="10">
        <v>6.21</v>
      </c>
      <c r="G48" s="3" t="s">
        <v>154</v>
      </c>
      <c r="H48" s="10">
        <v>6.01</v>
      </c>
      <c r="I48" s="4">
        <f t="shared" si="0"/>
        <v>57.094999999999999</v>
      </c>
    </row>
    <row r="49" spans="1:12" x14ac:dyDescent="0.3">
      <c r="A49" s="3" t="s">
        <v>130</v>
      </c>
      <c r="D49" s="3" t="s">
        <v>50</v>
      </c>
      <c r="E49" s="10">
        <v>6.08</v>
      </c>
      <c r="G49" s="3" t="s">
        <v>50</v>
      </c>
      <c r="H49" s="10">
        <v>5.89</v>
      </c>
      <c r="I49" s="4">
        <f t="shared" si="0"/>
        <v>55.954999999999998</v>
      </c>
    </row>
    <row r="50" spans="1:12" x14ac:dyDescent="0.3">
      <c r="A50" s="3" t="s">
        <v>132</v>
      </c>
      <c r="D50" s="3" t="s">
        <v>75</v>
      </c>
      <c r="E50" s="10">
        <v>6</v>
      </c>
      <c r="G50" s="3" t="s">
        <v>152</v>
      </c>
      <c r="H50" s="10">
        <v>5.88</v>
      </c>
      <c r="I50" s="4">
        <f t="shared" si="0"/>
        <v>55.86</v>
      </c>
    </row>
    <row r="51" spans="1:12" x14ac:dyDescent="0.3">
      <c r="A51" s="3" t="s">
        <v>134</v>
      </c>
      <c r="D51" s="3" t="s">
        <v>150</v>
      </c>
      <c r="E51" s="10">
        <v>5.96</v>
      </c>
      <c r="G51" s="3" t="s">
        <v>150</v>
      </c>
      <c r="H51" s="10">
        <v>5.8</v>
      </c>
      <c r="I51" s="4">
        <f t="shared" si="0"/>
        <v>55.1</v>
      </c>
    </row>
    <row r="52" spans="1:12" x14ac:dyDescent="0.3">
      <c r="A52" s="3" t="s">
        <v>136</v>
      </c>
      <c r="D52" s="3" t="s">
        <v>112</v>
      </c>
      <c r="E52" s="10">
        <v>5.96</v>
      </c>
      <c r="G52" s="3" t="s">
        <v>144</v>
      </c>
      <c r="H52" s="10">
        <v>5.78</v>
      </c>
      <c r="I52" s="4">
        <f t="shared" si="0"/>
        <v>54.910000000000004</v>
      </c>
    </row>
    <row r="53" spans="1:12" x14ac:dyDescent="0.3">
      <c r="A53" s="3" t="s">
        <v>138</v>
      </c>
      <c r="D53" s="3" t="s">
        <v>152</v>
      </c>
      <c r="E53" s="10">
        <v>5.75</v>
      </c>
      <c r="G53" s="3" t="s">
        <v>136</v>
      </c>
      <c r="H53" s="10">
        <v>5.75</v>
      </c>
      <c r="I53" s="4">
        <f t="shared" si="0"/>
        <v>54.625</v>
      </c>
    </row>
    <row r="54" spans="1:12" x14ac:dyDescent="0.3">
      <c r="A54" s="3" t="s">
        <v>142</v>
      </c>
      <c r="D54" s="3" t="s">
        <v>138</v>
      </c>
      <c r="E54" s="10">
        <v>5.75</v>
      </c>
      <c r="G54" s="3" t="s">
        <v>91</v>
      </c>
      <c r="H54" s="10">
        <v>5.74</v>
      </c>
      <c r="I54" s="4">
        <f t="shared" si="0"/>
        <v>54.53</v>
      </c>
    </row>
    <row r="55" spans="1:12" x14ac:dyDescent="0.3">
      <c r="A55" s="3" t="s">
        <v>144</v>
      </c>
      <c r="D55" s="3" t="s">
        <v>122</v>
      </c>
      <c r="E55" s="10">
        <v>5.5</v>
      </c>
      <c r="G55" s="3" t="s">
        <v>77</v>
      </c>
      <c r="H55" s="10">
        <v>5.71</v>
      </c>
      <c r="I55" s="4">
        <f t="shared" si="0"/>
        <v>54.244999999999997</v>
      </c>
    </row>
    <row r="56" spans="1:12" x14ac:dyDescent="0.3">
      <c r="A56" s="3" t="s">
        <v>146</v>
      </c>
      <c r="D56" s="3" t="s">
        <v>91</v>
      </c>
      <c r="E56" s="10">
        <v>5.42</v>
      </c>
      <c r="G56" s="3" t="s">
        <v>138</v>
      </c>
      <c r="H56" s="10">
        <v>5.71</v>
      </c>
      <c r="I56" s="4">
        <f t="shared" si="0"/>
        <v>54.244999999999997</v>
      </c>
    </row>
    <row r="57" spans="1:12" x14ac:dyDescent="0.3">
      <c r="A57" s="3" t="s">
        <v>148</v>
      </c>
      <c r="D57" s="3" t="s">
        <v>27</v>
      </c>
      <c r="E57" s="10">
        <v>5.38</v>
      </c>
      <c r="G57" s="3" t="s">
        <v>79</v>
      </c>
      <c r="H57" s="10">
        <v>5.58</v>
      </c>
      <c r="I57" s="4">
        <f t="shared" si="0"/>
        <v>53.01</v>
      </c>
    </row>
    <row r="58" spans="1:12" x14ac:dyDescent="0.3">
      <c r="A58" s="3" t="s">
        <v>152</v>
      </c>
      <c r="D58" s="3" t="s">
        <v>120</v>
      </c>
      <c r="E58" s="10">
        <v>5.33</v>
      </c>
      <c r="G58" s="3" t="s">
        <v>75</v>
      </c>
      <c r="H58" s="10">
        <v>5.54</v>
      </c>
      <c r="I58" s="4">
        <f t="shared" si="0"/>
        <v>52.63</v>
      </c>
    </row>
    <row r="59" spans="1:12" x14ac:dyDescent="0.3">
      <c r="A59" s="3" t="s">
        <v>154</v>
      </c>
      <c r="D59" s="3" t="s">
        <v>34</v>
      </c>
      <c r="E59" s="10">
        <v>5.33</v>
      </c>
      <c r="G59" s="3" t="s">
        <v>39</v>
      </c>
      <c r="H59" s="10">
        <v>5.52</v>
      </c>
      <c r="I59" s="4">
        <f t="shared" si="0"/>
        <v>52.44</v>
      </c>
    </row>
    <row r="60" spans="1:12" x14ac:dyDescent="0.3">
      <c r="D60" s="3" t="s">
        <v>140</v>
      </c>
      <c r="E60" s="10">
        <v>5.33</v>
      </c>
      <c r="G60" s="3" t="s">
        <v>27</v>
      </c>
      <c r="H60" s="10">
        <v>5.5</v>
      </c>
      <c r="I60" s="4">
        <f t="shared" si="0"/>
        <v>52.25</v>
      </c>
    </row>
    <row r="61" spans="1:12" x14ac:dyDescent="0.3">
      <c r="D61" s="3" t="s">
        <v>39</v>
      </c>
      <c r="E61" s="10">
        <v>5.21</v>
      </c>
      <c r="G61" s="3" t="s">
        <v>122</v>
      </c>
      <c r="H61" s="10">
        <v>5.4</v>
      </c>
      <c r="I61" s="4">
        <f t="shared" si="0"/>
        <v>51.300000000000004</v>
      </c>
      <c r="K61" t="s">
        <v>172</v>
      </c>
    </row>
    <row r="62" spans="1:12" x14ac:dyDescent="0.3">
      <c r="D62" s="3" t="s">
        <v>79</v>
      </c>
      <c r="E62" s="10">
        <v>5.04</v>
      </c>
      <c r="G62" s="3" t="s">
        <v>140</v>
      </c>
      <c r="H62" s="10">
        <v>5.3</v>
      </c>
      <c r="I62" s="4">
        <f t="shared" si="0"/>
        <v>50.35</v>
      </c>
      <c r="K62" s="3" t="s">
        <v>91</v>
      </c>
      <c r="L62" s="10">
        <v>5.42</v>
      </c>
    </row>
    <row r="63" spans="1:12" x14ac:dyDescent="0.3">
      <c r="D63" s="3" t="s">
        <v>77</v>
      </c>
      <c r="E63" s="10">
        <v>4.92</v>
      </c>
      <c r="G63" s="3" t="s">
        <v>34</v>
      </c>
      <c r="H63" s="10">
        <v>5.29</v>
      </c>
      <c r="I63" s="4">
        <f t="shared" si="0"/>
        <v>50.255000000000003</v>
      </c>
      <c r="K63" s="3" t="s">
        <v>27</v>
      </c>
      <c r="L63" s="10">
        <v>5.38</v>
      </c>
    </row>
    <row r="64" spans="1:12" x14ac:dyDescent="0.3">
      <c r="A64" s="2" t="s">
        <v>157</v>
      </c>
      <c r="B64" t="s">
        <v>160</v>
      </c>
      <c r="D64" s="3" t="s">
        <v>60</v>
      </c>
      <c r="E64" s="10">
        <v>3.54</v>
      </c>
      <c r="G64" s="3" t="s">
        <v>60</v>
      </c>
      <c r="H64" s="10">
        <v>4.66</v>
      </c>
      <c r="I64" s="4">
        <f t="shared" si="0"/>
        <v>44.27</v>
      </c>
      <c r="K64" s="3" t="s">
        <v>120</v>
      </c>
      <c r="L64" s="10">
        <v>5.33</v>
      </c>
    </row>
    <row r="65" spans="1:12" x14ac:dyDescent="0.3">
      <c r="A65" s="3" t="s">
        <v>110</v>
      </c>
      <c r="B65" s="10">
        <v>8.25</v>
      </c>
      <c r="D65" s="3" t="s">
        <v>89</v>
      </c>
      <c r="E65" s="10">
        <v>3.08</v>
      </c>
      <c r="G65" s="3" t="s">
        <v>89</v>
      </c>
      <c r="H65" s="10">
        <v>3.57</v>
      </c>
      <c r="I65" s="4">
        <f t="shared" si="0"/>
        <v>33.914999999999999</v>
      </c>
      <c r="K65" s="3" t="s">
        <v>34</v>
      </c>
      <c r="L65" s="10">
        <v>5.33</v>
      </c>
    </row>
    <row r="66" spans="1:12" x14ac:dyDescent="0.3">
      <c r="A66" s="3" t="s">
        <v>83</v>
      </c>
      <c r="B66" s="10">
        <v>8.0399999999999991</v>
      </c>
      <c r="K66" s="3" t="s">
        <v>140</v>
      </c>
      <c r="L66" s="10">
        <v>5.33</v>
      </c>
    </row>
    <row r="67" spans="1:12" x14ac:dyDescent="0.3">
      <c r="A67" s="3" t="s">
        <v>132</v>
      </c>
      <c r="B67" s="10">
        <v>8.0399999999999991</v>
      </c>
      <c r="K67" s="3" t="s">
        <v>39</v>
      </c>
      <c r="L67" s="10">
        <v>5.21</v>
      </c>
    </row>
    <row r="68" spans="1:12" x14ac:dyDescent="0.3">
      <c r="A68" s="3" t="s">
        <v>108</v>
      </c>
      <c r="B68" s="10">
        <v>8</v>
      </c>
      <c r="D68" s="2" t="s">
        <v>157</v>
      </c>
      <c r="E68" t="s">
        <v>163</v>
      </c>
      <c r="K68" s="3" t="s">
        <v>79</v>
      </c>
      <c r="L68" s="10">
        <v>5.04</v>
      </c>
    </row>
    <row r="69" spans="1:12" x14ac:dyDescent="0.3">
      <c r="A69" s="3" t="s">
        <v>126</v>
      </c>
      <c r="B69" s="10">
        <v>7.96</v>
      </c>
      <c r="D69" s="3" t="s">
        <v>16</v>
      </c>
      <c r="E69" s="10">
        <v>1</v>
      </c>
      <c r="K69" s="3" t="s">
        <v>77</v>
      </c>
      <c r="L69" s="10">
        <v>4.92</v>
      </c>
    </row>
    <row r="70" spans="1:12" x14ac:dyDescent="0.3">
      <c r="A70" s="3" t="s">
        <v>93</v>
      </c>
      <c r="B70" s="10">
        <v>7.92</v>
      </c>
      <c r="D70" s="3" t="s">
        <v>25</v>
      </c>
      <c r="E70" s="10">
        <v>1</v>
      </c>
      <c r="K70" s="3" t="s">
        <v>60</v>
      </c>
      <c r="L70" s="10">
        <v>3.54</v>
      </c>
    </row>
    <row r="71" spans="1:12" x14ac:dyDescent="0.3">
      <c r="A71" s="3" t="s">
        <v>128</v>
      </c>
      <c r="B71" s="10">
        <v>7.79</v>
      </c>
      <c r="D71" s="3" t="s">
        <v>27</v>
      </c>
      <c r="E71" s="10">
        <v>1</v>
      </c>
      <c r="K71" s="3" t="s">
        <v>89</v>
      </c>
      <c r="L71" s="10">
        <v>3.08</v>
      </c>
    </row>
    <row r="72" spans="1:12" x14ac:dyDescent="0.3">
      <c r="A72" s="3" t="s">
        <v>81</v>
      </c>
      <c r="B72" s="10">
        <v>7.79</v>
      </c>
      <c r="D72" s="3" t="s">
        <v>32</v>
      </c>
      <c r="E72" s="10">
        <v>1</v>
      </c>
    </row>
    <row r="73" spans="1:12" x14ac:dyDescent="0.3">
      <c r="A73" s="3" t="s">
        <v>95</v>
      </c>
      <c r="B73" s="10">
        <v>7.75</v>
      </c>
      <c r="D73" s="3" t="s">
        <v>34</v>
      </c>
      <c r="E73" s="10">
        <v>1</v>
      </c>
    </row>
    <row r="74" spans="1:12" x14ac:dyDescent="0.3">
      <c r="A74" s="3" t="s">
        <v>130</v>
      </c>
      <c r="B74" s="10">
        <v>7.67</v>
      </c>
      <c r="D74" s="3" t="s">
        <v>39</v>
      </c>
      <c r="E74" s="10">
        <v>1</v>
      </c>
    </row>
    <row r="75" spans="1:12" x14ac:dyDescent="0.3">
      <c r="A75" s="3" t="s">
        <v>142</v>
      </c>
      <c r="B75" s="10">
        <v>7.58</v>
      </c>
      <c r="D75" s="3" t="s">
        <v>41</v>
      </c>
      <c r="E75" s="10">
        <v>1</v>
      </c>
    </row>
    <row r="76" spans="1:12" x14ac:dyDescent="0.3">
      <c r="A76" s="3" t="s">
        <v>104</v>
      </c>
      <c r="B76" s="10">
        <v>7.58</v>
      </c>
      <c r="D76" s="3" t="s">
        <v>44</v>
      </c>
      <c r="E76" s="10">
        <v>1</v>
      </c>
    </row>
    <row r="77" spans="1:12" x14ac:dyDescent="0.3">
      <c r="A77" s="3" t="s">
        <v>54</v>
      </c>
      <c r="B77" s="10">
        <v>7.5</v>
      </c>
      <c r="D77" s="3" t="s">
        <v>46</v>
      </c>
      <c r="E77" s="10">
        <v>1</v>
      </c>
    </row>
    <row r="78" spans="1:12" x14ac:dyDescent="0.3">
      <c r="A78" s="3" t="s">
        <v>100</v>
      </c>
      <c r="B78" s="10">
        <v>7.42</v>
      </c>
      <c r="D78" s="3" t="s">
        <v>48</v>
      </c>
      <c r="E78" s="10">
        <v>1</v>
      </c>
    </row>
    <row r="79" spans="1:12" x14ac:dyDescent="0.3">
      <c r="A79" s="3" t="s">
        <v>102</v>
      </c>
      <c r="B79" s="10">
        <v>7.42</v>
      </c>
      <c r="D79" s="3" t="s">
        <v>50</v>
      </c>
      <c r="E79" s="10">
        <v>1</v>
      </c>
    </row>
    <row r="80" spans="1:12" x14ac:dyDescent="0.3">
      <c r="A80" s="3" t="s">
        <v>41</v>
      </c>
      <c r="B80" s="10">
        <v>7.33</v>
      </c>
      <c r="D80" s="3" t="s">
        <v>52</v>
      </c>
      <c r="E80" s="10">
        <v>1</v>
      </c>
    </row>
    <row r="81" spans="1:5" x14ac:dyDescent="0.3">
      <c r="A81" s="3" t="s">
        <v>114</v>
      </c>
      <c r="B81" s="10">
        <v>7.33</v>
      </c>
      <c r="D81" s="3" t="s">
        <v>54</v>
      </c>
      <c r="E81" s="10">
        <v>1</v>
      </c>
    </row>
    <row r="82" spans="1:5" x14ac:dyDescent="0.3">
      <c r="A82" s="3" t="s">
        <v>69</v>
      </c>
      <c r="B82" s="10">
        <v>7.21</v>
      </c>
      <c r="D82" s="3" t="s">
        <v>56</v>
      </c>
      <c r="E82" s="10">
        <v>1</v>
      </c>
    </row>
    <row r="83" spans="1:5" x14ac:dyDescent="0.3">
      <c r="A83" s="3" t="s">
        <v>63</v>
      </c>
      <c r="B83" s="10">
        <v>7.13</v>
      </c>
      <c r="D83" s="3" t="s">
        <v>58</v>
      </c>
      <c r="E83" s="10">
        <v>1</v>
      </c>
    </row>
    <row r="84" spans="1:5" x14ac:dyDescent="0.3">
      <c r="A84" s="3" t="s">
        <v>52</v>
      </c>
      <c r="B84" s="10">
        <v>7.13</v>
      </c>
      <c r="D84" s="3" t="s">
        <v>60</v>
      </c>
      <c r="E84" s="10">
        <v>1</v>
      </c>
    </row>
    <row r="85" spans="1:5" x14ac:dyDescent="0.3">
      <c r="A85" s="3" t="s">
        <v>16</v>
      </c>
      <c r="B85" s="10">
        <v>7.08</v>
      </c>
      <c r="D85" s="3" t="s">
        <v>63</v>
      </c>
      <c r="E85" s="10">
        <v>1</v>
      </c>
    </row>
    <row r="86" spans="1:5" x14ac:dyDescent="0.3">
      <c r="A86" s="3" t="s">
        <v>56</v>
      </c>
      <c r="B86" s="10">
        <v>7.08</v>
      </c>
      <c r="D86" s="3" t="s">
        <v>65</v>
      </c>
      <c r="E86" s="10">
        <v>1</v>
      </c>
    </row>
    <row r="87" spans="1:5" x14ac:dyDescent="0.3">
      <c r="A87" s="3" t="s">
        <v>146</v>
      </c>
      <c r="B87" s="10">
        <v>7.08</v>
      </c>
      <c r="D87" s="3" t="s">
        <v>67</v>
      </c>
      <c r="E87" s="10">
        <v>1</v>
      </c>
    </row>
    <row r="88" spans="1:5" x14ac:dyDescent="0.3">
      <c r="A88" s="3" t="s">
        <v>48</v>
      </c>
      <c r="B88" s="10">
        <v>7.04</v>
      </c>
      <c r="D88" s="3" t="s">
        <v>69</v>
      </c>
      <c r="E88" s="10">
        <v>1</v>
      </c>
    </row>
    <row r="89" spans="1:5" x14ac:dyDescent="0.3">
      <c r="A89" s="3" t="s">
        <v>148</v>
      </c>
      <c r="B89" s="10">
        <v>7.04</v>
      </c>
      <c r="D89" s="3" t="s">
        <v>71</v>
      </c>
      <c r="E89" s="10">
        <v>1</v>
      </c>
    </row>
    <row r="90" spans="1:5" x14ac:dyDescent="0.3">
      <c r="A90" s="3" t="s">
        <v>58</v>
      </c>
      <c r="B90" s="10">
        <v>7.04</v>
      </c>
      <c r="D90" s="3" t="s">
        <v>73</v>
      </c>
      <c r="E90" s="10">
        <v>1</v>
      </c>
    </row>
    <row r="91" spans="1:5" x14ac:dyDescent="0.3">
      <c r="A91" s="3" t="s">
        <v>44</v>
      </c>
      <c r="B91" s="10">
        <v>7.04</v>
      </c>
      <c r="D91" s="3" t="s">
        <v>75</v>
      </c>
      <c r="E91" s="10">
        <v>1</v>
      </c>
    </row>
    <row r="92" spans="1:5" x14ac:dyDescent="0.3">
      <c r="A92" s="3" t="s">
        <v>71</v>
      </c>
      <c r="B92" s="10">
        <v>6.92</v>
      </c>
      <c r="D92" s="3" t="s">
        <v>77</v>
      </c>
      <c r="E92" s="10">
        <v>1</v>
      </c>
    </row>
    <row r="93" spans="1:5" x14ac:dyDescent="0.3">
      <c r="A93" s="3" t="s">
        <v>67</v>
      </c>
      <c r="B93" s="10">
        <v>6.92</v>
      </c>
      <c r="D93" s="3" t="s">
        <v>79</v>
      </c>
      <c r="E93" s="10">
        <v>1</v>
      </c>
    </row>
    <row r="94" spans="1:5" x14ac:dyDescent="0.3">
      <c r="A94" s="3" t="s">
        <v>134</v>
      </c>
      <c r="B94" s="10">
        <v>6.88</v>
      </c>
      <c r="D94" s="3" t="s">
        <v>81</v>
      </c>
      <c r="E94" s="10">
        <v>1</v>
      </c>
    </row>
    <row r="95" spans="1:5" x14ac:dyDescent="0.3">
      <c r="A95" s="3" t="s">
        <v>106</v>
      </c>
      <c r="B95" s="10">
        <v>6.83</v>
      </c>
      <c r="D95" s="3" t="s">
        <v>83</v>
      </c>
      <c r="E95" s="10">
        <v>1</v>
      </c>
    </row>
    <row r="96" spans="1:5" x14ac:dyDescent="0.3">
      <c r="A96" s="3" t="s">
        <v>73</v>
      </c>
      <c r="B96" s="10">
        <v>6.75</v>
      </c>
      <c r="D96" s="3" t="s">
        <v>85</v>
      </c>
      <c r="E96" s="10">
        <v>1</v>
      </c>
    </row>
    <row r="97" spans="1:5" x14ac:dyDescent="0.3">
      <c r="A97" s="3" t="s">
        <v>144</v>
      </c>
      <c r="B97" s="10">
        <v>6.71</v>
      </c>
      <c r="D97" s="3" t="s">
        <v>87</v>
      </c>
      <c r="E97" s="10">
        <v>1</v>
      </c>
    </row>
    <row r="98" spans="1:5" x14ac:dyDescent="0.3">
      <c r="A98" s="3" t="s">
        <v>32</v>
      </c>
      <c r="B98" s="10">
        <v>6.71</v>
      </c>
      <c r="D98" s="3" t="s">
        <v>89</v>
      </c>
      <c r="E98" s="10">
        <v>1</v>
      </c>
    </row>
    <row r="99" spans="1:5" x14ac:dyDescent="0.3">
      <c r="A99" s="3" t="s">
        <v>25</v>
      </c>
      <c r="B99" s="10">
        <v>6.46</v>
      </c>
      <c r="D99" s="3" t="s">
        <v>91</v>
      </c>
      <c r="E99" s="10">
        <v>1</v>
      </c>
    </row>
    <row r="100" spans="1:5" x14ac:dyDescent="0.3">
      <c r="A100" s="3" t="s">
        <v>118</v>
      </c>
      <c r="B100" s="10">
        <v>6.46</v>
      </c>
      <c r="D100" s="3" t="s">
        <v>93</v>
      </c>
      <c r="E100" s="10">
        <v>1</v>
      </c>
    </row>
    <row r="101" spans="1:5" x14ac:dyDescent="0.3">
      <c r="A101" s="3" t="s">
        <v>124</v>
      </c>
      <c r="B101" s="10">
        <v>6.46</v>
      </c>
      <c r="D101" s="3" t="s">
        <v>95</v>
      </c>
      <c r="E101" s="10">
        <v>1</v>
      </c>
    </row>
    <row r="102" spans="1:5" x14ac:dyDescent="0.3">
      <c r="A102" s="3" t="s">
        <v>154</v>
      </c>
      <c r="B102" s="10">
        <v>6.46</v>
      </c>
      <c r="D102" s="3" t="s">
        <v>97</v>
      </c>
      <c r="E102" s="10">
        <v>1</v>
      </c>
    </row>
    <row r="103" spans="1:5" x14ac:dyDescent="0.3">
      <c r="A103" s="3" t="s">
        <v>85</v>
      </c>
      <c r="B103" s="10">
        <v>6.42</v>
      </c>
      <c r="D103" s="3" t="s">
        <v>100</v>
      </c>
      <c r="E103" s="10">
        <v>1</v>
      </c>
    </row>
    <row r="104" spans="1:5" x14ac:dyDescent="0.3">
      <c r="A104" s="3" t="s">
        <v>65</v>
      </c>
      <c r="B104" s="10">
        <v>6.38</v>
      </c>
      <c r="D104" s="3" t="s">
        <v>102</v>
      </c>
      <c r="E104" s="10">
        <v>1</v>
      </c>
    </row>
    <row r="105" spans="1:5" x14ac:dyDescent="0.3">
      <c r="A105" s="3" t="s">
        <v>87</v>
      </c>
      <c r="B105" s="10">
        <v>6.38</v>
      </c>
      <c r="D105" s="3" t="s">
        <v>104</v>
      </c>
      <c r="E105" s="10">
        <v>1</v>
      </c>
    </row>
    <row r="106" spans="1:5" x14ac:dyDescent="0.3">
      <c r="A106" s="3" t="s">
        <v>46</v>
      </c>
      <c r="B106" s="10">
        <v>6.29</v>
      </c>
      <c r="D106" s="3" t="s">
        <v>106</v>
      </c>
      <c r="E106" s="10">
        <v>1</v>
      </c>
    </row>
    <row r="107" spans="1:5" x14ac:dyDescent="0.3">
      <c r="A107" s="3" t="s">
        <v>97</v>
      </c>
      <c r="B107" s="10">
        <v>6.25</v>
      </c>
      <c r="D107" s="3" t="s">
        <v>108</v>
      </c>
      <c r="E107" s="10">
        <v>1</v>
      </c>
    </row>
    <row r="108" spans="1:5" x14ac:dyDescent="0.3">
      <c r="A108" s="3" t="s">
        <v>116</v>
      </c>
      <c r="B108" s="10">
        <v>6.25</v>
      </c>
      <c r="D108" s="3" t="s">
        <v>110</v>
      </c>
      <c r="E108" s="10">
        <v>1</v>
      </c>
    </row>
    <row r="109" spans="1:5" x14ac:dyDescent="0.3">
      <c r="A109" s="3" t="s">
        <v>136</v>
      </c>
      <c r="B109" s="10">
        <v>6.21</v>
      </c>
      <c r="D109" s="3" t="s">
        <v>112</v>
      </c>
      <c r="E109" s="10">
        <v>1</v>
      </c>
    </row>
    <row r="110" spans="1:5" x14ac:dyDescent="0.3">
      <c r="A110" s="3" t="s">
        <v>50</v>
      </c>
      <c r="B110" s="10">
        <v>6.08</v>
      </c>
      <c r="D110" s="3" t="s">
        <v>114</v>
      </c>
      <c r="E110" s="10">
        <v>1</v>
      </c>
    </row>
    <row r="111" spans="1:5" x14ac:dyDescent="0.3">
      <c r="A111" s="3" t="s">
        <v>75</v>
      </c>
      <c r="B111" s="10">
        <v>6</v>
      </c>
      <c r="D111" s="3" t="s">
        <v>116</v>
      </c>
      <c r="E111" s="10">
        <v>1</v>
      </c>
    </row>
    <row r="112" spans="1:5" x14ac:dyDescent="0.3">
      <c r="A112" s="3" t="s">
        <v>150</v>
      </c>
      <c r="B112" s="10">
        <v>5.96</v>
      </c>
      <c r="D112" s="3" t="s">
        <v>118</v>
      </c>
      <c r="E112" s="10">
        <v>1</v>
      </c>
    </row>
    <row r="113" spans="1:5" x14ac:dyDescent="0.3">
      <c r="A113" s="3" t="s">
        <v>112</v>
      </c>
      <c r="B113" s="10">
        <v>5.96</v>
      </c>
      <c r="D113" s="3" t="s">
        <v>120</v>
      </c>
      <c r="E113" s="10">
        <v>1</v>
      </c>
    </row>
    <row r="114" spans="1:5" x14ac:dyDescent="0.3">
      <c r="A114" s="3" t="s">
        <v>152</v>
      </c>
      <c r="B114" s="10">
        <v>5.75</v>
      </c>
      <c r="D114" s="3" t="s">
        <v>122</v>
      </c>
      <c r="E114" s="10">
        <v>1</v>
      </c>
    </row>
    <row r="115" spans="1:5" x14ac:dyDescent="0.3">
      <c r="A115" s="3" t="s">
        <v>138</v>
      </c>
      <c r="B115" s="10">
        <v>5.75</v>
      </c>
      <c r="D115" s="3" t="s">
        <v>124</v>
      </c>
      <c r="E115" s="10">
        <v>1</v>
      </c>
    </row>
    <row r="116" spans="1:5" x14ac:dyDescent="0.3">
      <c r="A116" s="3" t="s">
        <v>122</v>
      </c>
      <c r="B116" s="10">
        <v>5.5</v>
      </c>
      <c r="D116" s="3" t="s">
        <v>126</v>
      </c>
      <c r="E116" s="10">
        <v>1</v>
      </c>
    </row>
    <row r="117" spans="1:5" x14ac:dyDescent="0.3">
      <c r="A117" s="3" t="s">
        <v>91</v>
      </c>
      <c r="B117" s="10">
        <v>5.42</v>
      </c>
      <c r="D117" s="3" t="s">
        <v>128</v>
      </c>
      <c r="E117" s="10">
        <v>1</v>
      </c>
    </row>
    <row r="118" spans="1:5" x14ac:dyDescent="0.3">
      <c r="A118" s="3" t="s">
        <v>27</v>
      </c>
      <c r="B118" s="10">
        <v>5.38</v>
      </c>
      <c r="D118" s="3" t="s">
        <v>130</v>
      </c>
      <c r="E118" s="10">
        <v>1</v>
      </c>
    </row>
    <row r="119" spans="1:5" x14ac:dyDescent="0.3">
      <c r="A119" s="3" t="s">
        <v>120</v>
      </c>
      <c r="B119" s="10">
        <v>5.33</v>
      </c>
      <c r="D119" s="3" t="s">
        <v>132</v>
      </c>
      <c r="E119" s="10">
        <v>1</v>
      </c>
    </row>
    <row r="120" spans="1:5" x14ac:dyDescent="0.3">
      <c r="A120" s="3" t="s">
        <v>34</v>
      </c>
      <c r="B120" s="10">
        <v>5.33</v>
      </c>
      <c r="D120" s="3" t="s">
        <v>134</v>
      </c>
      <c r="E120" s="10">
        <v>1</v>
      </c>
    </row>
    <row r="121" spans="1:5" x14ac:dyDescent="0.3">
      <c r="A121" s="3" t="s">
        <v>140</v>
      </c>
      <c r="B121" s="10">
        <v>5.33</v>
      </c>
      <c r="D121" s="3" t="s">
        <v>136</v>
      </c>
      <c r="E121" s="10">
        <v>1</v>
      </c>
    </row>
    <row r="122" spans="1:5" x14ac:dyDescent="0.3">
      <c r="A122" s="3" t="s">
        <v>39</v>
      </c>
      <c r="B122" s="10">
        <v>5.21</v>
      </c>
      <c r="D122" s="3" t="s">
        <v>138</v>
      </c>
      <c r="E122" s="10">
        <v>1</v>
      </c>
    </row>
    <row r="123" spans="1:5" x14ac:dyDescent="0.3">
      <c r="A123" s="3" t="s">
        <v>79</v>
      </c>
      <c r="B123" s="10">
        <v>5.04</v>
      </c>
      <c r="D123" s="3" t="s">
        <v>140</v>
      </c>
      <c r="E123" s="10">
        <v>1</v>
      </c>
    </row>
    <row r="124" spans="1:5" x14ac:dyDescent="0.3">
      <c r="A124" s="3" t="s">
        <v>77</v>
      </c>
      <c r="B124" s="10">
        <v>4.92</v>
      </c>
      <c r="D124" s="3" t="s">
        <v>142</v>
      </c>
      <c r="E124" s="10">
        <v>1</v>
      </c>
    </row>
    <row r="125" spans="1:5" x14ac:dyDescent="0.3">
      <c r="A125" s="3" t="s">
        <v>60</v>
      </c>
      <c r="B125" s="10">
        <v>3.54</v>
      </c>
      <c r="D125" s="3" t="s">
        <v>144</v>
      </c>
      <c r="E125" s="10">
        <v>1</v>
      </c>
    </row>
    <row r="126" spans="1:5" x14ac:dyDescent="0.3">
      <c r="A126" s="3" t="s">
        <v>89</v>
      </c>
      <c r="B126" s="10">
        <v>3.08</v>
      </c>
      <c r="D126" s="3" t="s">
        <v>146</v>
      </c>
      <c r="E126" s="10">
        <v>1</v>
      </c>
    </row>
    <row r="127" spans="1:5" x14ac:dyDescent="0.3">
      <c r="D127" s="3" t="s">
        <v>148</v>
      </c>
      <c r="E127" s="10">
        <v>1</v>
      </c>
    </row>
    <row r="128" spans="1:5" x14ac:dyDescent="0.3">
      <c r="D128" s="3" t="s">
        <v>150</v>
      </c>
      <c r="E128" s="10">
        <v>1</v>
      </c>
    </row>
    <row r="129" spans="4:5" x14ac:dyDescent="0.3">
      <c r="D129" s="3" t="s">
        <v>152</v>
      </c>
      <c r="E129" s="10">
        <v>1</v>
      </c>
    </row>
    <row r="130" spans="4:5" x14ac:dyDescent="0.3">
      <c r="D130" s="3" t="s">
        <v>154</v>
      </c>
      <c r="E130" s="10">
        <v>1</v>
      </c>
    </row>
    <row r="132" spans="4:5" x14ac:dyDescent="0.3">
      <c r="D132" s="3" t="s">
        <v>158</v>
      </c>
      <c r="E132">
        <f>SUM(E69:E130)</f>
        <v>62</v>
      </c>
    </row>
  </sheetData>
  <conditionalFormatting sqref="A64:B64 A65:A126">
    <cfRule type="top10" dxfId="22" priority="7" rank="10"/>
    <cfRule type="top10" dxfId="21" priority="6" bottom="1" rank="10"/>
  </conditionalFormatting>
  <conditionalFormatting sqref="K34:L43">
    <cfRule type="top10" dxfId="18" priority="4" bottom="1" rank="10"/>
    <cfRule type="top10" dxfId="19" priority="5" rank="10"/>
    <cfRule type="top10" dxfId="20" priority="3" rank="10"/>
  </conditionalFormatting>
  <conditionalFormatting sqref="K62:L71">
    <cfRule type="top10" dxfId="16" priority="1" bottom="1" rank="10"/>
    <cfRule type="top10" dxfId="17" priority="2" rank="10"/>
  </conditionalFormatting>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abSelected="1" zoomScale="79" workbookViewId="0">
      <selection activeCell="K1" sqref="K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Students</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This pc</dc:creator>
  <cp:lastModifiedBy>Vishal Asthana</cp:lastModifiedBy>
  <dcterms:created xsi:type="dcterms:W3CDTF">2025-12-08T18:52:10Z</dcterms:created>
  <dcterms:modified xsi:type="dcterms:W3CDTF">2026-01-21T09:07:27Z</dcterms:modified>
</cp:coreProperties>
</file>